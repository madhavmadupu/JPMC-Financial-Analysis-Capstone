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adha\Downloads\"/>
    </mc:Choice>
  </mc:AlternateContent>
  <bookViews>
    <workbookView xWindow="0" yWindow="0" windowWidth="23040" windowHeight="11220" tabRatio="884" firstSheet="1" activeTab="6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7" i="31" l="1"/>
  <c r="K33" i="45" l="1"/>
  <c r="J33" i="45"/>
  <c r="I33" i="45"/>
  <c r="H33" i="45"/>
  <c r="G33" i="45"/>
  <c r="F33" i="45"/>
  <c r="K32" i="45"/>
  <c r="J32" i="45"/>
  <c r="I32" i="45"/>
  <c r="H32" i="45"/>
  <c r="G32" i="45"/>
  <c r="F32" i="45"/>
  <c r="E19" i="9" l="1"/>
  <c r="D111" i="31" l="1"/>
  <c r="D22" i="31"/>
  <c r="C9" i="45"/>
  <c r="G76" i="45" l="1"/>
  <c r="H76" i="45"/>
  <c r="I76" i="45"/>
  <c r="J76" i="45"/>
  <c r="K76" i="45"/>
  <c r="Q76" i="45"/>
  <c r="G78" i="45"/>
  <c r="H78" i="45"/>
  <c r="I78" i="45"/>
  <c r="J78" i="45"/>
  <c r="K78" i="45"/>
  <c r="Q78" i="45"/>
  <c r="F76" i="45"/>
  <c r="F78" i="45"/>
  <c r="R53" i="45"/>
  <c r="R54" i="45" s="1"/>
  <c r="O78" i="45"/>
  <c r="P78" i="45"/>
  <c r="L54" i="45"/>
  <c r="R76" i="45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V76" i="45"/>
  <c r="H124" i="31"/>
  <c r="R50" i="45"/>
  <c r="G124" i="31"/>
  <c r="F124" i="31"/>
  <c r="N24" i="40"/>
  <c r="N78" i="45"/>
  <c r="R78" i="45"/>
  <c r="P76" i="45"/>
  <c r="L76" i="45"/>
  <c r="P54" i="45"/>
  <c r="M78" i="45"/>
  <c r="S53" i="45"/>
  <c r="S54" i="45" s="1"/>
  <c r="O76" i="45"/>
  <c r="L78" i="45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125" i="31" l="1"/>
  <c r="R125" i="31"/>
  <c r="P125" i="31"/>
  <c r="Q24" i="40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P24" i="40" l="1"/>
  <c r="R24" i="40"/>
  <c r="M124" i="31"/>
  <c r="M26" i="40"/>
  <c r="U78" i="45"/>
  <c r="V53" i="45"/>
  <c r="U54" i="45"/>
  <c r="P124" i="31" l="1"/>
  <c r="P26" i="40"/>
  <c r="V54" i="45"/>
  <c r="V78" i="45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K72" i="45" l="1"/>
  <c r="J72" i="45"/>
  <c r="I72" i="45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J62" i="45"/>
  <c r="I62" i="45"/>
  <c r="H62" i="45"/>
  <c r="G62" i="45"/>
  <c r="F62" i="45"/>
  <c r="F63" i="45" s="1"/>
  <c r="K60" i="45"/>
  <c r="J60" i="45"/>
  <c r="I60" i="45"/>
  <c r="H60" i="45"/>
  <c r="G60" i="45"/>
  <c r="F60" i="45"/>
  <c r="F58" i="45"/>
  <c r="M46" i="45"/>
  <c r="K45" i="45"/>
  <c r="K74" i="45" s="1"/>
  <c r="K75" i="45" s="1"/>
  <c r="J45" i="45"/>
  <c r="J47" i="45" s="1"/>
  <c r="I45" i="45"/>
  <c r="I74" i="45" s="1"/>
  <c r="I75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K65" i="45" l="1"/>
  <c r="K67" i="45" s="1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L32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L13" i="45"/>
  <c r="L11" i="45" s="1"/>
  <c r="L33" i="45" s="1"/>
  <c r="N72" i="45"/>
  <c r="N41" i="45"/>
  <c r="L41" i="45"/>
  <c r="L72" i="45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J75" i="45" s="1"/>
  <c r="G21" i="45"/>
  <c r="R47" i="45"/>
  <c r="I65" i="45"/>
  <c r="F65" i="45"/>
  <c r="F69" i="45"/>
  <c r="K47" i="45"/>
  <c r="K46" i="45"/>
  <c r="J61" i="45"/>
  <c r="F73" i="45"/>
  <c r="G47" i="45"/>
  <c r="L74" i="45"/>
  <c r="M74" i="45"/>
  <c r="D13" i="44"/>
  <c r="N31" i="45" s="1"/>
  <c r="N32" i="45" s="1"/>
  <c r="E13" i="44"/>
  <c r="O31" i="45" s="1"/>
  <c r="O32" i="45" s="1"/>
  <c r="F13" i="44"/>
  <c r="P31" i="45" s="1"/>
  <c r="P32" i="45" s="1"/>
  <c r="C13" i="44"/>
  <c r="M31" i="45" s="1"/>
  <c r="B11" i="44"/>
  <c r="M32" i="45" l="1"/>
  <c r="K66" i="45"/>
  <c r="M11" i="45"/>
  <c r="M33" i="45" s="1"/>
  <c r="L55" i="45"/>
  <c r="L51" i="45"/>
  <c r="B16" i="44"/>
  <c r="B20" i="44" s="1"/>
  <c r="E16" i="44"/>
  <c r="E20" i="44" s="1"/>
  <c r="C16" i="44"/>
  <c r="C20" i="44" s="1"/>
  <c r="F16" i="44"/>
  <c r="F20" i="44" s="1"/>
  <c r="D16" i="44"/>
  <c r="D20" i="44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L47" i="45"/>
  <c r="N11" i="45" l="1"/>
  <c r="N33" i="45" s="1"/>
  <c r="L73" i="45"/>
  <c r="L79" i="45"/>
  <c r="L77" i="45"/>
  <c r="M55" i="45"/>
  <c r="M51" i="45"/>
  <c r="B31" i="44"/>
  <c r="L18" i="45"/>
  <c r="L15" i="45" s="1"/>
  <c r="C31" i="44"/>
  <c r="C32" i="44" s="1"/>
  <c r="M18" i="45"/>
  <c r="M15" i="45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L61" i="45"/>
  <c r="K9" i="45"/>
  <c r="J58" i="45"/>
  <c r="G22" i="31" s="1"/>
  <c r="T47" i="45"/>
  <c r="O11" i="45" l="1"/>
  <c r="O33" i="45" s="1"/>
  <c r="N15" i="45"/>
  <c r="M77" i="45"/>
  <c r="M79" i="45"/>
  <c r="N55" i="45"/>
  <c r="N51" i="45"/>
  <c r="L25" i="45"/>
  <c r="M25" i="45"/>
  <c r="L17" i="45"/>
  <c r="L71" i="45"/>
  <c r="L43" i="45"/>
  <c r="L62" i="45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M62" i="45"/>
  <c r="M71" i="45"/>
  <c r="M17" i="45"/>
  <c r="N60" i="45"/>
  <c r="P11" i="45" l="1"/>
  <c r="O15" i="45"/>
  <c r="D19" i="12"/>
  <c r="N77" i="45"/>
  <c r="N79" i="45"/>
  <c r="N25" i="45"/>
  <c r="M68" i="45"/>
  <c r="M70" i="45" s="1"/>
  <c r="M26" i="45"/>
  <c r="M27" i="45"/>
  <c r="L68" i="45"/>
  <c r="L65" i="45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N17" i="45"/>
  <c r="N71" i="45"/>
  <c r="M23" i="45"/>
  <c r="M21" i="45"/>
  <c r="M63" i="45"/>
  <c r="M64" i="45"/>
  <c r="M9" i="45"/>
  <c r="L58" i="45"/>
  <c r="I22" i="31" s="1"/>
  <c r="V47" i="45"/>
  <c r="P60" i="45" l="1"/>
  <c r="P33" i="45"/>
  <c r="L67" i="45"/>
  <c r="I46" i="31"/>
  <c r="Q11" i="45"/>
  <c r="Q60" i="45" s="1"/>
  <c r="P15" i="45"/>
  <c r="M65" i="45"/>
  <c r="L66" i="45"/>
  <c r="M69" i="45"/>
  <c r="L69" i="45"/>
  <c r="L70" i="45"/>
  <c r="N26" i="45"/>
  <c r="N68" i="45"/>
  <c r="N65" i="45" s="1"/>
  <c r="N27" i="45"/>
  <c r="C36" i="44"/>
  <c r="D34" i="44"/>
  <c r="D35" i="44" s="1"/>
  <c r="M58" i="45"/>
  <c r="J22" i="31" s="1"/>
  <c r="N9" i="45"/>
  <c r="N23" i="45"/>
  <c r="N21" i="45"/>
  <c r="N64" i="45"/>
  <c r="N63" i="45"/>
  <c r="M66" i="45" l="1"/>
  <c r="M67" i="45"/>
  <c r="N67" i="45"/>
  <c r="N66" i="45"/>
  <c r="N69" i="45"/>
  <c r="N70" i="45"/>
  <c r="E34" i="44"/>
  <c r="E35" i="44" s="1"/>
  <c r="D36" i="44"/>
  <c r="N58" i="45"/>
  <c r="K22" i="31" s="1"/>
  <c r="O9" i="45"/>
  <c r="F34" i="44" l="1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35" i="31" l="1"/>
  <c r="H112" i="31"/>
  <c r="H113" i="31" s="1"/>
  <c r="H122" i="31"/>
  <c r="G123" i="31"/>
  <c r="H111" i="31"/>
  <c r="I8" i="40"/>
  <c r="H121" i="31" l="1"/>
  <c r="H114" i="31"/>
  <c r="H115" i="31" s="1"/>
  <c r="H123" i="31"/>
  <c r="I111" i="31"/>
  <c r="H116" i="31"/>
  <c r="H117" i="31" s="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F122" i="31"/>
  <c r="I122" i="31"/>
  <c r="C35" i="40" l="1"/>
  <c r="L96" i="31"/>
  <c r="L95" i="31" s="1"/>
  <c r="F113" i="31"/>
  <c r="E99" i="31"/>
  <c r="K42" i="40" s="1"/>
  <c r="K41" i="40"/>
  <c r="G113" i="31"/>
  <c r="G121" i="31"/>
  <c r="J123" i="31"/>
  <c r="F119" i="31"/>
  <c r="G119" i="31"/>
  <c r="F123" i="31"/>
  <c r="F114" i="31"/>
  <c r="F115" i="31" s="1"/>
  <c r="F35" i="31"/>
  <c r="F116" i="31" s="1"/>
  <c r="F117" i="31" s="1"/>
  <c r="I123" i="31"/>
  <c r="F103" i="31"/>
  <c r="L37" i="40" s="1"/>
  <c r="M37" i="40"/>
  <c r="F121" i="31"/>
  <c r="L29" i="40"/>
  <c r="K123" i="31" l="1"/>
  <c r="K23" i="40"/>
  <c r="G35" i="31"/>
  <c r="G116" i="31" s="1"/>
  <c r="G117" i="31" s="1"/>
  <c r="G114" i="31"/>
  <c r="G115" i="31" s="1"/>
  <c r="J21" i="40"/>
  <c r="J122" i="31"/>
  <c r="K122" i="31"/>
  <c r="K21" i="40"/>
  <c r="J23" i="40"/>
  <c r="H119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118" i="31" l="1"/>
  <c r="H118" i="31"/>
  <c r="O119" i="31"/>
  <c r="O20" i="40"/>
  <c r="H17" i="31"/>
  <c r="H18" i="31" s="1"/>
  <c r="D24" i="12"/>
  <c r="G17" i="31"/>
  <c r="G18" i="31" s="1"/>
  <c r="N29" i="40"/>
  <c r="H120" i="31" l="1"/>
  <c r="H127" i="31" s="1"/>
  <c r="I9" i="40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I15" i="40"/>
  <c r="I112" i="31"/>
  <c r="I113" i="31" s="1"/>
  <c r="J9" i="40"/>
  <c r="I17" i="40"/>
  <c r="I18" i="40" s="1"/>
  <c r="I121" i="31"/>
  <c r="I114" i="31"/>
  <c r="I115" i="31" s="1"/>
  <c r="Q119" i="31"/>
  <c r="Q20" i="40"/>
  <c r="I12" i="40"/>
  <c r="J121" i="31"/>
  <c r="J112" i="31"/>
  <c r="J113" i="31" s="1"/>
  <c r="J17" i="31"/>
  <c r="J18" i="31" s="1"/>
  <c r="K11" i="40"/>
  <c r="K13" i="40" s="1"/>
  <c r="I35" i="31"/>
  <c r="J13" i="40"/>
  <c r="J66" i="31"/>
  <c r="I67" i="31"/>
  <c r="P29" i="40"/>
  <c r="I116" i="31" l="1"/>
  <c r="I117" i="31" s="1"/>
  <c r="J22" i="40"/>
  <c r="J27" i="40"/>
  <c r="J25" i="40"/>
  <c r="S119" i="31"/>
  <c r="S20" i="40"/>
  <c r="J10" i="40"/>
  <c r="J12" i="40"/>
  <c r="J14" i="40"/>
  <c r="K112" i="31"/>
  <c r="K113" i="31" s="1"/>
  <c r="K9" i="40"/>
  <c r="R119" i="31"/>
  <c r="R20" i="40"/>
  <c r="K17" i="31"/>
  <c r="K18" i="31" s="1"/>
  <c r="J35" i="31"/>
  <c r="J114" i="31"/>
  <c r="J115" i="31" s="1"/>
  <c r="K14" i="40"/>
  <c r="K16" i="40" s="1"/>
  <c r="K66" i="31"/>
  <c r="Q29" i="40"/>
  <c r="J15" i="40" l="1"/>
  <c r="J16" i="40"/>
  <c r="I61" i="31"/>
  <c r="K10" i="40"/>
  <c r="K27" i="40"/>
  <c r="K25" i="40"/>
  <c r="J17" i="40"/>
  <c r="K35" i="31"/>
  <c r="K116" i="31" s="1"/>
  <c r="K117" i="31" s="1"/>
  <c r="K121" i="31"/>
  <c r="K22" i="40"/>
  <c r="K12" i="40"/>
  <c r="J30" i="40"/>
  <c r="J116" i="31"/>
  <c r="J117" i="31" s="1"/>
  <c r="I118" i="31"/>
  <c r="L17" i="31"/>
  <c r="L18" i="31" s="1"/>
  <c r="J118" i="31"/>
  <c r="K17" i="40"/>
  <c r="K15" i="40"/>
  <c r="K114" i="31"/>
  <c r="K115" i="31" s="1"/>
  <c r="L66" i="31"/>
  <c r="K67" i="31"/>
  <c r="K30" i="40" s="1"/>
  <c r="R29" i="40"/>
  <c r="J18" i="40" l="1"/>
  <c r="K19" i="40"/>
  <c r="K28" i="40" s="1"/>
  <c r="I120" i="31"/>
  <c r="I127" i="31" s="1"/>
  <c r="I63" i="31"/>
  <c r="I64" i="31" s="1"/>
  <c r="K61" i="31"/>
  <c r="J19" i="40"/>
  <c r="J28" i="40" s="1"/>
  <c r="K18" i="40"/>
  <c r="M17" i="31"/>
  <c r="M18" i="31" s="1"/>
  <c r="J61" i="31"/>
  <c r="M66" i="31"/>
  <c r="L67" i="31"/>
  <c r="L30" i="40" s="1"/>
  <c r="S29" i="40"/>
  <c r="J31" i="40" l="1"/>
  <c r="K120" i="31"/>
  <c r="K127" i="31" s="1"/>
  <c r="K118" i="31"/>
  <c r="K31" i="40"/>
  <c r="K63" i="31"/>
  <c r="K64" i="31" s="1"/>
  <c r="J120" i="31"/>
  <c r="J127" i="31" s="1"/>
  <c r="N17" i="31"/>
  <c r="N18" i="31" s="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l="1"/>
  <c r="S30" i="40" s="1"/>
  <c r="R67" i="31"/>
  <c r="R30" i="40" s="1"/>
  <c r="O55" i="45" l="1"/>
  <c r="O51" i="45"/>
  <c r="O47" i="45"/>
  <c r="O42" i="45"/>
  <c r="O60" i="45"/>
  <c r="O61" i="45" l="1"/>
  <c r="O77" i="45"/>
  <c r="O79" i="45"/>
  <c r="P55" i="45"/>
  <c r="P51" i="45"/>
  <c r="P47" i="45"/>
  <c r="P42" i="45"/>
  <c r="O46" i="45"/>
  <c r="O74" i="45"/>
  <c r="O75" i="45" l="1"/>
  <c r="P61" i="45"/>
  <c r="P77" i="45"/>
  <c r="P79" i="45"/>
  <c r="P46" i="45"/>
  <c r="P74" i="45"/>
  <c r="P75" i="45" l="1"/>
  <c r="O43" i="45"/>
  <c r="O25" i="45"/>
  <c r="P43" i="45"/>
  <c r="P25" i="45"/>
  <c r="O17" i="45"/>
  <c r="P71" i="45"/>
  <c r="O62" i="45"/>
  <c r="O71" i="45"/>
  <c r="P17" i="45"/>
  <c r="P62" i="45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P66" i="45" l="1"/>
  <c r="O69" i="45"/>
  <c r="P70" i="45"/>
  <c r="O65" i="45"/>
  <c r="P69" i="45"/>
  <c r="O21" i="45"/>
  <c r="P21" i="45"/>
  <c r="O23" i="45"/>
  <c r="P23" i="45"/>
  <c r="O66" i="45" l="1"/>
  <c r="O41" i="45"/>
  <c r="P41" i="45"/>
  <c r="O72" i="45"/>
  <c r="P72" i="45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Q46" i="45"/>
  <c r="Q41" i="45"/>
  <c r="Q72" i="45"/>
  <c r="R41" i="45"/>
  <c r="S41" i="45"/>
  <c r="T41" i="45"/>
  <c r="U41" i="45"/>
  <c r="V41" i="45"/>
  <c r="R72" i="45"/>
  <c r="S72" i="45"/>
  <c r="T72" i="45"/>
  <c r="U72" i="45"/>
  <c r="V72" i="45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11" i="40" l="1"/>
  <c r="M23" i="40"/>
  <c r="M9" i="40"/>
  <c r="M25" i="40" s="1"/>
  <c r="N9" i="40" l="1"/>
  <c r="N22" i="40" s="1"/>
  <c r="M123" i="31"/>
  <c r="M22" i="40"/>
  <c r="M121" i="31"/>
  <c r="M112" i="31"/>
  <c r="M113" i="31" s="1"/>
  <c r="M27" i="40"/>
  <c r="M14" i="40"/>
  <c r="M17" i="40" s="1"/>
  <c r="N23" i="40"/>
  <c r="N123" i="31"/>
  <c r="M12" i="40"/>
  <c r="M35" i="31"/>
  <c r="L35" i="31"/>
  <c r="L116" i="31" s="1"/>
  <c r="L117" i="31" s="1"/>
  <c r="L114" i="31"/>
  <c r="L115" i="31" s="1"/>
  <c r="M114" i="31"/>
  <c r="M115" i="31" s="1"/>
  <c r="L9" i="40"/>
  <c r="L123" i="31"/>
  <c r="L23" i="40"/>
  <c r="L121" i="31"/>
  <c r="L14" i="40"/>
  <c r="L112" i="31"/>
  <c r="L113" i="31" s="1"/>
  <c r="L11" i="40"/>
  <c r="N27" i="40" l="1"/>
  <c r="N10" i="40"/>
  <c r="N25" i="40"/>
  <c r="M16" i="40"/>
  <c r="M15" i="40"/>
  <c r="M116" i="31"/>
  <c r="M117" i="31" s="1"/>
  <c r="M118" i="31"/>
  <c r="L118" i="3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L18" i="40"/>
  <c r="L19" i="40"/>
  <c r="L28" i="40" l="1"/>
  <c r="L31" i="40" s="1"/>
  <c r="L61" i="31"/>
  <c r="L63" i="31" s="1"/>
  <c r="L64" i="31" s="1"/>
  <c r="M61" i="31"/>
  <c r="M63" i="31" s="1"/>
  <c r="M64" i="31" s="1"/>
  <c r="M120" i="31"/>
  <c r="M127" i="31" s="1"/>
  <c r="L120" i="31"/>
  <c r="L127" i="31" s="1"/>
  <c r="V20" i="45"/>
  <c r="R11" i="45" l="1"/>
  <c r="R60" i="45" s="1"/>
  <c r="O123" i="31"/>
  <c r="O9" i="40"/>
  <c r="O10" i="40" s="1"/>
  <c r="O23" i="40"/>
  <c r="R55" i="45" l="1"/>
  <c r="R61" i="45"/>
  <c r="R73" i="45"/>
  <c r="R51" i="45"/>
  <c r="R45" i="45"/>
  <c r="R42" i="45"/>
  <c r="O25" i="40"/>
  <c r="O22" i="40"/>
  <c r="O27" i="40"/>
  <c r="R77" i="45"/>
  <c r="R79" i="45"/>
  <c r="S11" i="45"/>
  <c r="R74" i="45" l="1"/>
  <c r="R75" i="45" s="1"/>
  <c r="R46" i="45"/>
  <c r="S42" i="45"/>
  <c r="S55" i="45"/>
  <c r="T11" i="45"/>
  <c r="S45" i="45"/>
  <c r="S51" i="45"/>
  <c r="S60" i="45"/>
  <c r="S73" i="45" l="1"/>
  <c r="S79" i="45"/>
  <c r="S61" i="45"/>
  <c r="S77" i="45"/>
  <c r="S46" i="45"/>
  <c r="S74" i="45"/>
  <c r="T60" i="45"/>
  <c r="T42" i="45"/>
  <c r="T55" i="45"/>
  <c r="U11" i="45"/>
  <c r="T45" i="45"/>
  <c r="T51" i="45"/>
  <c r="T61" i="45" l="1"/>
  <c r="T73" i="45"/>
  <c r="T79" i="45"/>
  <c r="T77" i="45"/>
  <c r="S75" i="45"/>
  <c r="P9" i="40"/>
  <c r="T46" i="45"/>
  <c r="T74" i="45"/>
  <c r="U60" i="45"/>
  <c r="U42" i="45"/>
  <c r="V11" i="45"/>
  <c r="U45" i="45"/>
  <c r="U51" i="45"/>
  <c r="U55" i="45"/>
  <c r="U61" i="45" l="1"/>
  <c r="U73" i="45"/>
  <c r="U79" i="45"/>
  <c r="U77" i="45"/>
  <c r="Q9" i="40"/>
  <c r="U46" i="45"/>
  <c r="U74" i="45"/>
  <c r="T75" i="45"/>
  <c r="P123" i="31"/>
  <c r="P23" i="40"/>
  <c r="P25" i="40"/>
  <c r="P10" i="40"/>
  <c r="P27" i="40"/>
  <c r="P22" i="40"/>
  <c r="V51" i="45"/>
  <c r="V60" i="45"/>
  <c r="V15" i="45"/>
  <c r="V42" i="45"/>
  <c r="V23" i="45"/>
  <c r="V55" i="45"/>
  <c r="V45" i="45"/>
  <c r="U75" i="45" l="1"/>
  <c r="V73" i="45"/>
  <c r="V61" i="45"/>
  <c r="V79" i="45"/>
  <c r="V77" i="45"/>
  <c r="Q123" i="31"/>
  <c r="Q23" i="40"/>
  <c r="R9" i="40"/>
  <c r="V43" i="45"/>
  <c r="V25" i="45"/>
  <c r="V71" i="45"/>
  <c r="V62" i="45"/>
  <c r="V46" i="45"/>
  <c r="V74" i="45"/>
  <c r="Q25" i="40"/>
  <c r="Q10" i="40"/>
  <c r="Q22" i="40"/>
  <c r="Q27" i="40"/>
  <c r="V75" i="45" l="1"/>
  <c r="V64" i="45"/>
  <c r="R22" i="40"/>
  <c r="R25" i="40"/>
  <c r="R10" i="40"/>
  <c r="R27" i="40"/>
  <c r="R23" i="40"/>
  <c r="R123" i="31"/>
  <c r="S9" i="40"/>
  <c r="V68" i="45"/>
  <c r="V27" i="45"/>
  <c r="S27" i="40" l="1"/>
  <c r="S22" i="40"/>
  <c r="S25" i="40"/>
  <c r="S10" i="40"/>
  <c r="S123" i="31"/>
  <c r="S23" i="40"/>
  <c r="S112" i="31"/>
  <c r="S113" i="31" s="1"/>
  <c r="T70" i="31"/>
  <c r="N76" i="31" s="1"/>
  <c r="S11" i="40"/>
  <c r="V70" i="45"/>
  <c r="V65" i="45"/>
  <c r="V67" i="45" l="1"/>
  <c r="V66" i="45"/>
  <c r="S12" i="40"/>
  <c r="S121" i="31" l="1"/>
  <c r="S114" i="31"/>
  <c r="S115" i="31" s="1"/>
  <c r="S14" i="40"/>
  <c r="S35" i="31"/>
  <c r="S16" i="40" l="1"/>
  <c r="S15" i="40"/>
  <c r="S17" i="40"/>
  <c r="S116" i="31"/>
  <c r="S117" i="31" s="1"/>
  <c r="S118" i="31"/>
  <c r="S19" i="40" l="1"/>
  <c r="S18" i="40"/>
  <c r="S28" i="40"/>
  <c r="T28" i="40" l="1"/>
  <c r="T31" i="40" s="1"/>
  <c r="F38" i="40" s="1"/>
  <c r="S31" i="40"/>
  <c r="S120" i="31"/>
  <c r="S127" i="31" s="1"/>
  <c r="S61" i="31"/>
  <c r="S63" i="31" s="1"/>
  <c r="S64" i="31" s="1"/>
  <c r="Q15" i="45"/>
  <c r="Q17" i="45" s="1"/>
  <c r="R15" i="45"/>
  <c r="R71" i="45" s="1"/>
  <c r="S15" i="45"/>
  <c r="T15" i="45"/>
  <c r="T62" i="45" s="1"/>
  <c r="T64" i="45" s="1"/>
  <c r="U15" i="45"/>
  <c r="U62" i="45" s="1"/>
  <c r="T43" i="45"/>
  <c r="T71" i="45"/>
  <c r="N11" i="40"/>
  <c r="Q71" i="45" l="1"/>
  <c r="Q62" i="45"/>
  <c r="Q63" i="45" s="1"/>
  <c r="Q43" i="45"/>
  <c r="T69" i="31"/>
  <c r="H76" i="31" s="1"/>
  <c r="U71" i="45"/>
  <c r="U17" i="45"/>
  <c r="U43" i="45"/>
  <c r="V17" i="45"/>
  <c r="S43" i="45"/>
  <c r="S17" i="45"/>
  <c r="S71" i="45"/>
  <c r="T17" i="45"/>
  <c r="S62" i="45"/>
  <c r="N13" i="40"/>
  <c r="N12" i="40"/>
  <c r="Q112" i="31"/>
  <c r="Q113" i="31" s="1"/>
  <c r="Q11" i="40"/>
  <c r="R17" i="45"/>
  <c r="R62" i="45"/>
  <c r="U63" i="45"/>
  <c r="V63" i="45"/>
  <c r="N112" i="31"/>
  <c r="N113" i="31" s="1"/>
  <c r="U64" i="45"/>
  <c r="Q64" i="45"/>
  <c r="R43" i="45"/>
  <c r="R112" i="31" l="1"/>
  <c r="R113" i="31" s="1"/>
  <c r="R11" i="40"/>
  <c r="R63" i="45"/>
  <c r="R64" i="45"/>
  <c r="S64" i="45"/>
  <c r="S63" i="45"/>
  <c r="T63" i="45"/>
  <c r="Q12" i="40"/>
  <c r="O11" i="40" l="1"/>
  <c r="O112" i="31"/>
  <c r="O113" i="31" s="1"/>
  <c r="R12" i="40"/>
  <c r="R13" i="40"/>
  <c r="S13" i="40"/>
  <c r="P11" i="40"/>
  <c r="P112" i="31"/>
  <c r="P113" i="31" s="1"/>
  <c r="P12" i="40" l="1"/>
  <c r="P13" i="40"/>
  <c r="Q13" i="40"/>
  <c r="O13" i="40"/>
  <c r="O12" i="40"/>
  <c r="Q20" i="45"/>
  <c r="Q21" i="45" s="1"/>
  <c r="R20" i="45"/>
  <c r="S20" i="45"/>
  <c r="T20" i="45"/>
  <c r="T23" i="45" s="1"/>
  <c r="U20" i="45"/>
  <c r="U23" i="45" s="1"/>
  <c r="R25" i="45"/>
  <c r="T25" i="45" l="1"/>
  <c r="T27" i="45" s="1"/>
  <c r="Q23" i="45"/>
  <c r="V21" i="45"/>
  <c r="U21" i="45"/>
  <c r="T68" i="45"/>
  <c r="T70" i="45" s="1"/>
  <c r="Q25" i="45"/>
  <c r="Q68" i="45" s="1"/>
  <c r="U25" i="45"/>
  <c r="R23" i="45"/>
  <c r="R21" i="45"/>
  <c r="S23" i="45"/>
  <c r="S21" i="45"/>
  <c r="T21" i="45"/>
  <c r="R27" i="45"/>
  <c r="R26" i="45"/>
  <c r="R68" i="45"/>
  <c r="S25" i="45"/>
  <c r="T26" i="45" s="1"/>
  <c r="T65" i="45" l="1"/>
  <c r="T67" i="45" s="1"/>
  <c r="U27" i="45"/>
  <c r="U26" i="45"/>
  <c r="V26" i="45"/>
  <c r="U68" i="45"/>
  <c r="Q26" i="45"/>
  <c r="Q27" i="45"/>
  <c r="Q69" i="45"/>
  <c r="Q65" i="45"/>
  <c r="Q70" i="45"/>
  <c r="S27" i="45"/>
  <c r="S26" i="45"/>
  <c r="S68" i="45"/>
  <c r="R70" i="45"/>
  <c r="R69" i="45"/>
  <c r="R65" i="45"/>
  <c r="U65" i="45" l="1"/>
  <c r="V69" i="45"/>
  <c r="U70" i="45"/>
  <c r="U69" i="45"/>
  <c r="T66" i="45"/>
  <c r="Q35" i="31"/>
  <c r="Q114" i="31"/>
  <c r="Q115" i="31" s="1"/>
  <c r="R67" i="45"/>
  <c r="R66" i="45"/>
  <c r="S70" i="45"/>
  <c r="S69" i="45"/>
  <c r="S65" i="45"/>
  <c r="T69" i="45"/>
  <c r="Q66" i="45"/>
  <c r="Q67" i="45"/>
  <c r="Q14" i="40" l="1"/>
  <c r="Q15" i="40" s="1"/>
  <c r="U66" i="45"/>
  <c r="U67" i="45"/>
  <c r="Q121" i="31"/>
  <c r="O114" i="31"/>
  <c r="O115" i="31" s="1"/>
  <c r="O35" i="31"/>
  <c r="O121" i="31"/>
  <c r="O14" i="40"/>
  <c r="S67" i="45"/>
  <c r="S66" i="45"/>
  <c r="Q116" i="31"/>
  <c r="Q117" i="31" s="1"/>
  <c r="Q118" i="31"/>
  <c r="N114" i="31"/>
  <c r="N115" i="31" s="1"/>
  <c r="N35" i="31"/>
  <c r="N121" i="31"/>
  <c r="N14" i="40"/>
  <c r="Q16" i="40" l="1"/>
  <c r="Q17" i="40"/>
  <c r="R114" i="31"/>
  <c r="R115" i="31" s="1"/>
  <c r="R121" i="31"/>
  <c r="R14" i="40"/>
  <c r="R35" i="31"/>
  <c r="O116" i="31"/>
  <c r="O117" i="31" s="1"/>
  <c r="O118" i="31"/>
  <c r="O15" i="40"/>
  <c r="O17" i="40"/>
  <c r="O16" i="40"/>
  <c r="N118" i="31"/>
  <c r="N116" i="31"/>
  <c r="N117" i="31" s="1"/>
  <c r="Q18" i="40"/>
  <c r="Q19" i="40"/>
  <c r="Q28" i="40" s="1"/>
  <c r="Q31" i="40" s="1"/>
  <c r="P114" i="31"/>
  <c r="P115" i="31" s="1"/>
  <c r="P35" i="31"/>
  <c r="P121" i="31"/>
  <c r="P14" i="40"/>
  <c r="N17" i="40"/>
  <c r="N15" i="40"/>
  <c r="N16" i="40"/>
  <c r="R17" i="40" l="1"/>
  <c r="R16" i="40"/>
  <c r="R15" i="40"/>
  <c r="R118" i="31"/>
  <c r="R116" i="31"/>
  <c r="R117" i="31" s="1"/>
  <c r="O19" i="40"/>
  <c r="O28" i="40" s="1"/>
  <c r="O31" i="40" s="1"/>
  <c r="O18" i="40"/>
  <c r="P118" i="31"/>
  <c r="P116" i="31"/>
  <c r="P117" i="31" s="1"/>
  <c r="Q61" i="31"/>
  <c r="Q63" i="31" s="1"/>
  <c r="Q64" i="31" s="1"/>
  <c r="Q120" i="31"/>
  <c r="Q127" i="31" s="1"/>
  <c r="N19" i="40"/>
  <c r="N28" i="40" s="1"/>
  <c r="N31" i="40" s="1"/>
  <c r="N18" i="40"/>
  <c r="P15" i="40"/>
  <c r="P17" i="40"/>
  <c r="P16" i="40"/>
  <c r="R19" i="40" l="1"/>
  <c r="R28" i="40" s="1"/>
  <c r="R31" i="40" s="1"/>
  <c r="R18" i="40"/>
  <c r="O61" i="31"/>
  <c r="O63" i="31" s="1"/>
  <c r="O64" i="31" s="1"/>
  <c r="O120" i="31"/>
  <c r="O127" i="31" s="1"/>
  <c r="N61" i="31"/>
  <c r="N63" i="31" s="1"/>
  <c r="N64" i="31" s="1"/>
  <c r="N120" i="31"/>
  <c r="N127" i="31" s="1"/>
  <c r="P18" i="40"/>
  <c r="P19" i="40"/>
  <c r="P28" i="40" s="1"/>
  <c r="P31" i="40" s="1"/>
  <c r="F37" i="40" l="1"/>
  <c r="F39" i="40" s="1"/>
  <c r="G37" i="40" s="1"/>
  <c r="R120" i="31"/>
  <c r="R127" i="31" s="1"/>
  <c r="R61" i="31"/>
  <c r="R63" i="31" s="1"/>
  <c r="R64" i="31" s="1"/>
  <c r="P61" i="31"/>
  <c r="P63" i="31" s="1"/>
  <c r="P64" i="31" s="1"/>
  <c r="P120" i="31"/>
  <c r="P127" i="31" s="1"/>
  <c r="N75" i="31" l="1"/>
  <c r="N77" i="31" s="1"/>
  <c r="H75" i="31"/>
  <c r="H77" i="31" s="1"/>
  <c r="F41" i="40"/>
  <c r="F42" i="40" s="1"/>
  <c r="F43" i="40" s="1"/>
  <c r="G38" i="40"/>
  <c r="G39" i="40"/>
  <c r="I76" i="31" l="1"/>
  <c r="E94" i="31"/>
  <c r="H79" i="31"/>
  <c r="H80" i="31" s="1"/>
  <c r="I75" i="31"/>
  <c r="L94" i="31"/>
  <c r="N79" i="31"/>
  <c r="N80" i="31" s="1"/>
  <c r="O76" i="31"/>
  <c r="O75" i="31"/>
  <c r="I77" i="31" l="1"/>
  <c r="O77" i="31"/>
  <c r="N81" i="31"/>
  <c r="L103" i="31"/>
  <c r="E103" i="31"/>
  <c r="H81" i="31"/>
</calcChain>
</file>

<file path=xl/comments1.xml><?xml version="1.0" encoding="utf-8"?>
<comments xmlns="http://schemas.openxmlformats.org/spreadsheetml/2006/main">
  <authors>
    <author>JPMorgan Chase &amp; Co.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>
  <authors>
    <author>Soni, Sushant</author>
  </authors>
  <commentList>
    <comment ref="D19" authorId="0" shapeId="0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>
  <authors>
    <author>Chauhan, Soumya</author>
    <author>Sukant Gupta</author>
    <author>Soni, Sushant</author>
    <author>Yates, James</author>
    <author>Pranav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<sst xmlns="http://schemas.openxmlformats.org/spreadsheetml/2006/main" count="282" uniqueCount="171">
  <si>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</si>
  <si>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</si>
  <si>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</si>
  <si>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</si>
  <si>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</si>
  <si>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</si>
  <si>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</si>
  <si>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</si>
  <si>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</si>
  <si>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</si>
  <si>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</si>
  <si>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</si>
  <si>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</si>
  <si>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</si>
  <si>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</si>
  <si>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</si>
  <si>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</si>
  <si>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</si>
  <si>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</si>
  <si>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</si>
  <si>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</si>
  <si>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</si>
  <si>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</si>
  <si>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</si>
  <si>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</si>
  <si>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</si>
  <si>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</si>
  <si>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</si>
  <si>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</si>
  <si>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</si>
  <si>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</si>
  <si>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</si>
  <si>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</si>
  <si>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</si>
  <si>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</si>
  <si>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</si>
  <si>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</si>
  <si>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</si>
  <si>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</si>
  <si>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</si>
  <si>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</si>
  <si>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</si>
  <si>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</si>
  <si>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</si>
  <si>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</si>
  <si>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</si>
  <si>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</si>
  <si>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</si>
  <si>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</si>
  <si>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</si>
  <si>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</si>
  <si>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</si>
  <si>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</si>
  <si>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</si>
  <si>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</si>
  <si>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</si>
  <si>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</si>
  <si>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</si>
  <si>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</si>
  <si>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</si>
  <si>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</si>
  <si>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</si>
  <si>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</si>
  <si>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</si>
  <si>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</si>
  <si>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</si>
  <si>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</si>
  <si>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</si>
  <si>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</si>
  <si>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</si>
  <si>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</si>
  <si>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</si>
  <si>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</si>
  <si>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</si>
  <si>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</si>
  <si>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</si>
  <si>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</si>
  <si>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</si>
  <si>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</si>
  <si>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</si>
  <si>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</si>
  <si>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</si>
  <si>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</si>
  <si>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</si>
  <si>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</si>
  <si>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</si>
  <si>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</si>
  <si>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</si>
  <si>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</si>
  <si>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</si>
  <si>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</si>
  <si>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</si>
  <si>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</si>
  <si>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</si>
  <si>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</si>
  <si>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</si>
  <si>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</si>
  <si>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</si>
  <si>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</si>
  <si>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</si>
  <si>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</si>
  <si>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</si>
  <si>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</si>
  <si>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</si>
  <si>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</si>
  <si>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</si>
  <si>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</si>
  <si>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</si>
  <si>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</si>
  <si>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</si>
  <si>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</si>
  <si>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</si>
  <si>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</si>
  <si>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</si>
  <si>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</si>
  <si>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</si>
  <si>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</si>
  <si>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</si>
  <si>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</si>
  <si>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</si>
  <si>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</si>
  <si>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</si>
  <si>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</si>
  <si>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</si>
  <si>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</si>
  <si>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</si>
  <si>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</si>
  <si>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</si>
  <si>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</si>
  <si>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</si>
  <si>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</si>
  <si>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</si>
  <si>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</si>
  <si>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</si>
  <si>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</si>
  <si>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</si>
  <si>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</si>
  <si>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</si>
  <si>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</si>
  <si>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</si>
  <si>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</si>
  <si>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</si>
  <si>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</si>
  <si>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</si>
  <si>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</si>
  <si>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</si>
  <si>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</si>
  <si>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</si>
  <si>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</si>
  <si>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</si>
  <si>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</si>
  <si>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</si>
  <si>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</si>
  <si>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</si>
  <si>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</si>
  <si>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</si>
  <si>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assume tax rate same as 2021</t>
  </si>
  <si>
    <t>&lt;&lt;&lt; Put down the assumptions after discussing with your senior</t>
  </si>
  <si>
    <t>Below fill in the blanks by linking from the Financials tab</t>
  </si>
  <si>
    <t>&lt;&lt;&lt; link from financials tab</t>
  </si>
  <si>
    <t>&lt;&lt;&lt; express % vs capex, and for years 2025 onwards include growth rates trending to 95% by 2030</t>
  </si>
  <si>
    <t>&lt;&lt;&lt; link from financials tab and for 2025 onwards express change in working capital as % sales</t>
  </si>
  <si>
    <t>&lt;&lt;&lt; link from financials tab and for 2025 onwards assume same as last year forecasts given by the company</t>
  </si>
  <si>
    <t>&lt;&lt;&lt; link from financials tab and for 2025 onwards assume same as last year's forecast given by the company</t>
  </si>
  <si>
    <t>update formula, growth is expressed vs previous year and margin is vs sales</t>
  </si>
  <si>
    <t>&lt;&lt; EBIT*tax rate</t>
  </si>
  <si>
    <t>&lt;&lt; EBIT+tax</t>
  </si>
  <si>
    <t>&lt;&lt;add EBIT+D&amp;A+Capex(-ve)+Change in WC (-ve)+other cashflows +exceptional items</t>
  </si>
  <si>
    <t xml:space="preserve">update as noted </t>
  </si>
  <si>
    <t>EV ($m)</t>
  </si>
  <si>
    <t>8.5x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</si>
</sst>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3"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-* #,##0.00_-;\-* #,##0.00_-;_-* &quot;-&quot;??_-;_-@_-"/>
    <numFmt numFmtId="172" formatCode="_(&quot;£&quot;* #,##0_);_(&quot;£&quot;* \(#,##0\);_(&quot;£&quot;* &quot;-&quot;_);_(@_)"/>
    <numFmt numFmtId="173" formatCode="#,##0.0_);\(#,##0.0\)"/>
    <numFmt numFmtId="174" formatCode="0.0%;\(0.0%\)"/>
    <numFmt numFmtId="175" formatCode="yyyy&quot;A&quot;"/>
    <numFmt numFmtId="176" formatCode="yyyy&quot;E&quot;"/>
    <numFmt numFmtId="177" formatCode="0.00%;\(0.00%\)"/>
    <numFmt numFmtId="178" formatCode="#,##0.000_);\(#,##0.000\)"/>
    <numFmt numFmtId="179" formatCode="#,##0;[Red]\(#,##0\)"/>
    <numFmt numFmtId="180" formatCode="_-* #,##0_-;\-* #,##0_-;_-* &quot;-&quot;??_-;_-@_-"/>
    <numFmt numFmtId="181" formatCode="0.0%"/>
    <numFmt numFmtId="182" formatCode="#,##0;\(#,##0\)"/>
    <numFmt numFmtId="183" formatCode="#,##0.0;\(#,##0.0\)"/>
    <numFmt numFmtId="184" formatCode="yyyy\A"/>
    <numFmt numFmtId="185" formatCode="_(* #,##0.0_);_(* \(#,##0.0\);_(* &quot;-&quot;??_);_(@_)"/>
    <numFmt numFmtId="186" formatCode="#,###_);\(#,###\)"/>
    <numFmt numFmtId="187" formatCode="#,##0.0_);\(#,##0.0\);\-_);@_)"/>
    <numFmt numFmtId="188" formatCode="0.0_)"/>
    <numFmt numFmtId="189" formatCode="_(* #,##0.00000_);_(* \(#,##0.00000\);_(* &quot;-&quot;??_);_(@_)"/>
    <numFmt numFmtId="190" formatCode="#.##000"/>
    <numFmt numFmtId="191" formatCode="\$#,#00"/>
    <numFmt numFmtId="192" formatCode=";;;"/>
    <numFmt numFmtId="193" formatCode="mmmddyyyy"/>
    <numFmt numFmtId="194" formatCode="_(* #,##0.000_);_(* \(#,##0.000\);_(* &quot;-&quot;??_);_(@_)"/>
    <numFmt numFmtId="195" formatCode="0.0000"/>
    <numFmt numFmtId="196" formatCode="#,##0.00_)&quot;x&quot;;[Red]\(#,##0.00\)&quot;x&quot;"/>
    <numFmt numFmtId="197" formatCode="#,##0.0_);\(#,##0.0\);#,##0.0_);@_)"/>
    <numFmt numFmtId="198" formatCode="&quot;$&quot;_(#,##0.00_);&quot;$&quot;\(#,##0.00\)"/>
    <numFmt numFmtId="199" formatCode="_(&quot;€&quot;* #,##0.0000_);_(&quot;€&quot;* \(#,##0.0000\);_(&quot;€&quot;* &quot;-&quot;??_);_(@_)"/>
    <numFmt numFmtId="200" formatCode="&quot;€&quot;#,##0.00"/>
    <numFmt numFmtId="201" formatCode="mmm\-d\-yy"/>
    <numFmt numFmtId="202" formatCode="_(&quot;€&quot;* #,##0.00_);_(&quot;€&quot;* \(#,##0.00\);_(&quot;€&quot;* &quot;-&quot;??_);_(@_)"/>
    <numFmt numFmtId="203" formatCode="0.0"/>
    <numFmt numFmtId="204" formatCode="0.000%;[Red]\(0.000%\)"/>
    <numFmt numFmtId="205" formatCode="_(* #,##0_);_(* \(#,##0\)"/>
    <numFmt numFmtId="206" formatCode="0.000%;;&quot;-- &quot;"/>
    <numFmt numFmtId="207" formatCode="#,##0.0_)\x;\(#,##0.0\)\x"/>
    <numFmt numFmtId="208" formatCode="#,##0_)\x;\(#,##0\)\x;0_)\x;@_)_x"/>
    <numFmt numFmtId="209" formatCode="%#,#00"/>
    <numFmt numFmtId="210" formatCode="0.0&quot;%&quot;_;\(0.0\)&quot;%&quot;"/>
    <numFmt numFmtId="211" formatCode="#,##0.0_)_x;\(#,##0.0\)_x"/>
    <numFmt numFmtId="212" formatCode="#,##0_)_x;\(#,##0\)_x;0_)_x;@_)_x"/>
    <numFmt numFmtId="213" formatCode="#,"/>
    <numFmt numFmtId="214" formatCode="#,##0.00\p;\(#,##0.00\p\)"/>
    <numFmt numFmtId="215" formatCode="_-* #,##0.00\ [$€-1]_-;\-* #,##0.00\ [$€-1]_-;_-* &quot;-&quot;??\ [$€-1]_-"/>
    <numFmt numFmtId="216" formatCode="0.0&quot;%&quot;;\(0.0\)&quot;%&quot;"/>
    <numFmt numFmtId="217" formatCode="#,##0;[Red]&quot;-&quot;#,##0"/>
    <numFmt numFmtId="218" formatCode="\£#,##0.0;\(\£#,##0.0\);\£#,##0.0"/>
    <numFmt numFmtId="219" formatCode="0.0_)\%;\(0.0\)\%"/>
    <numFmt numFmtId="220" formatCode="#,##0.0_)_%;\(#,##0.0\)_%"/>
    <numFmt numFmtId="221" formatCode="#,##0;\(#,##0\);&quot;-&quot;"/>
    <numFmt numFmtId="222" formatCode="0.0_);\(0.0\)"/>
    <numFmt numFmtId="223" formatCode="_(&quot;€&quot;* #,##0_);_(&quot;€&quot;* \(#,##0\);_(&quot;€&quot;* &quot;-&quot;_);_(@_)"/>
    <numFmt numFmtId="224" formatCode="&quot;$&quot;#.#"/>
    <numFmt numFmtId="225" formatCode="\£\ #,##0_);[Red]\(\£\ #,##0\)"/>
    <numFmt numFmtId="226" formatCode="\¥\ #,##0_);[Red]\(\¥\ #,##0\)"/>
    <numFmt numFmtId="227" formatCode="#,##0.0&quot;¢&quot;;\-#,##0.0&quot;¢&quot;"/>
    <numFmt numFmtId="228" formatCode="#,##0.0_);[Red]\(#,##0.0\)"/>
    <numFmt numFmtId="229" formatCode="\•\ \ @"/>
    <numFmt numFmtId="230" formatCode="\ \ _•\–\ \ \ \ @"/>
    <numFmt numFmtId="231" formatCode="0.000_)"/>
    <numFmt numFmtId="232" formatCode="0.000%"/>
    <numFmt numFmtId="233" formatCode="_(\£* #,##0_);_(\£* \(#,##0\);_(\£* &quot;-&quot;_);_(@_)"/>
    <numFmt numFmtId="234" formatCode="_(\£* #,##0.0_);_(\£* \(#,##0.0\);_(\£* &quot;-&quot;_);_(@_)"/>
    <numFmt numFmtId="235" formatCode="_(\£* #,##0.00_);_(\£* \(#,##0.00\);_(\£* &quot;-&quot;_);_(@_)"/>
    <numFmt numFmtId="236" formatCode="_(* #,##0\p_);_(* \(#,##0\p\);_(* &quot;-&quot;\ \p_);_(@_)"/>
    <numFmt numFmtId="237" formatCode="_(* #,##0.00\p_);_(* \(#,##0.00\p\);_(* &quot;-&quot;\ \p_);_(@_)"/>
    <numFmt numFmtId="238" formatCode="\£#,##0.00"/>
    <numFmt numFmtId="239" formatCode="#,##0.00\x;\(#,##0.00\)\x"/>
    <numFmt numFmtId="240" formatCode="0_);\(0\)"/>
    <numFmt numFmtId="241" formatCode="#,##0_);[Red]\(#,##0\);&quot;--  &quot;"/>
    <numFmt numFmtId="242" formatCode="0.0%;[Red]\(0.0%\);&quot;--  &quot;"/>
    <numFmt numFmtId="243" formatCode="&quot;Esc &quot;#,##0\ \b\n;\(#,##0\)"/>
    <numFmt numFmtId="244" formatCode="&quot;$&quot;#,##0.00&quot;A&quot;;[Red]\(&quot;$&quot;#,##0.00\)&quot;A&quot;"/>
    <numFmt numFmtId="245" formatCode="&quot;$&quot;#,##0.00&quot;E&quot;;[Red]\(&quot;$&quot;#,##0.00\)&quot;E&quot;"/>
    <numFmt numFmtId="246" formatCode="&quot;$&quot;#,##0.00000000000000000000000000_);[Red]\(&quot;$&quot;#,##0.00000000000000000000000000\)"/>
    <numFmt numFmtId="247" formatCode="_-[$€]* #,##0.00_-;\-[$€]* #,##0.00_-;_-[$€]* &quot;-&quot;??_-;_-@_-"/>
    <numFmt numFmtId="248" formatCode="#,##0;\(#,##0\);\—"/>
    <numFmt numFmtId="249" formatCode="_(* #,##0_);_(* \(#,##0\);_(* &quot;-&quot;??_);_(@_)"/>
    <numFmt numFmtId="250" formatCode="#,##0.0;[Red]\(#,##0.0\)"/>
    <numFmt numFmtId="251" formatCode="#,##0.0000_);\(#,##0.0000\);@_)"/>
    <numFmt numFmtId="252" formatCode="#,##0_);\(#,##0\);\-_)"/>
    <numFmt numFmtId="253" formatCode="#,##0_);\(#,##0\);0_)"/>
    <numFmt numFmtId="254" formatCode="#,##0.0000000000;\(#,##0.0000000000\)"/>
    <numFmt numFmtId="255" formatCode="#,##0.0_);\(#,##0.0\);0.0_)"/>
    <numFmt numFmtId="256" formatCode="#,##0_);\(#,##0\);@_)"/>
    <numFmt numFmtId="257" formatCode="_-&quot;kb/d&quot;* #,##0.00_-;\-&quot;kb/d&quot;* #,##0.00_-;_-&quot;k/bd&quot;* &quot;-&quot;??_-;_-@_-"/>
    <numFmt numFmtId="258" formatCode="###0_);\(###0\);\-_);@_)"/>
    <numFmt numFmtId="259" formatCode="#,##0.0&quot;x&quot;;\(#,##0.0&quot;x&quot;\)"/>
    <numFmt numFmtId="260" formatCode="#,##0_);\(#,##0\);\-_);@_)"/>
    <numFmt numFmtId="261" formatCode="0.0%;\(0.0\)%;\—\%"/>
    <numFmt numFmtId="262" formatCode="0_)"/>
    <numFmt numFmtId="263" formatCode="\$#,##0;\(\$#,##0\);\-\ 0\ \-;[Red]@"/>
    <numFmt numFmtId="264" formatCode="0.00_);\(0.00\)"/>
    <numFmt numFmtId="265" formatCode="&quot;£&quot;#,##0_);&quot;£&quot;\(#,##0\);&quot;£&quot;#,##0_);@_)"/>
    <numFmt numFmtId="266" formatCode="#,##0.0;\(#,##0.0\);&quot;OK&quot;"/>
    <numFmt numFmtId="267" formatCode="0&quot; bp&quot;"/>
    <numFmt numFmtId="268" formatCode="_-* #,##0\ &quot;Pts&quot;_-;\-* #,##0\ &quot;Pts&quot;_-;_-* &quot;-&quot;\ &quot;Pts&quot;_-;_-@_-"/>
    <numFmt numFmtId="269" formatCode="_-* #,##0\ _P_t_s_-;\-* #,##0\ _P_t_s_-;_-* &quot;-&quot;\ _P_t_s_-;_-@_-"/>
    <numFmt numFmtId="270" formatCode="_-* #,##0.00\ &quot;Pts&quot;_-;\-* #,##0.00\ &quot;Pts&quot;_-;_-* &quot;-&quot;??\ &quot;Pts&quot;_-;_-@_-"/>
    <numFmt numFmtId="271" formatCode="&quot;Proj &quot;0;;"/>
    <numFmt numFmtId="272" formatCode="#,##0.000"/>
    <numFmt numFmtId="273" formatCode="&quot;£ &quot;#,##0.00;[Red]\(&quot;£ &quot;#,##0.00\);&quot;--  &quot;;_(@_)"/>
    <numFmt numFmtId="274" formatCode="#,##0.0%_);\(#,##0.0%\)"/>
    <numFmt numFmtId="275" formatCode="#\ ##0.0"/>
    <numFmt numFmtId="276" formatCode="#,##0_);\(#,##0\);&quot;-&quot;?"/>
    <numFmt numFmtId="277" formatCode="#,##0.00_);\(#,##0.00\);&quot;-&quot;?"/>
    <numFmt numFmtId="278" formatCode="#,##0.00&quot;x&quot;;[Red]\(#,##0.00&quot;x&quot;\)"/>
    <numFmt numFmtId="279" formatCode="0.0\x"/>
    <numFmt numFmtId="280" formatCode="#,##0.00_);\(#,##0.00\);0.00_)"/>
    <numFmt numFmtId="281" formatCode="General_)"/>
    <numFmt numFmtId="282" formatCode="#,##0.0"/>
    <numFmt numFmtId="283" formatCode="&quot;$&quot;#,##0.00_);[Red]\(&quot;$&quot;#,##0.00\);&quot;--  &quot;;_(@_)"/>
    <numFmt numFmtId="284" formatCode="&quot;€&quot;#,##0.00_);\(&quot;€&quot;#,##0.00\)"/>
    <numFmt numFmtId="285" formatCode="0.0%_);\(0.0%\)"/>
    <numFmt numFmtId="286" formatCode="&quot;EUR &quot;#,##0.0_);\(&quot;EUR &quot;#,##0.0\)"/>
    <numFmt numFmtId="287" formatCode="0.0%_);[Red]\(0.0%\)"/>
    <numFmt numFmtId="288" formatCode="_-\€* #,##0_-;\-&quot;£&quot;* #,##0_-;_-&quot;£&quot;* &quot;-&quot;_-;_-@_-"/>
    <numFmt numFmtId="289" formatCode="_-* #,##0.00\ _P_t_s_-;\-* #,##0.00\ _P_t_s_-;_-* &quot;-&quot;??\ _P_t_s_-;_-@_-"/>
    <numFmt numFmtId="290" formatCode="###0_);\(###0\);"/>
    <numFmt numFmtId="291" formatCode="_ * #,##0.00_-\ &quot;€&quot;_ ;_ * #,##0.00\-\ &quot;€&quot;_ ;_ * &quot;-&quot;??_-\ &quot;€&quot;_ ;_ @_ "/>
    <numFmt numFmtId="292" formatCode="0&quot;E&quot;"/>
    <numFmt numFmtId="293" formatCode="#,##0.00_x"/>
    <numFmt numFmtId="294" formatCode="&quot;$&quot;#\ ?/?"/>
    <numFmt numFmtId="295" formatCode="0&quot; mos&quot;"/>
    <numFmt numFmtId="296" formatCode="mmm\-d\-yyyy"/>
    <numFmt numFmtId="297" formatCode="mmm\-yyyy"/>
    <numFmt numFmtId="298" formatCode="0_);\(0\);\-_);@_)"/>
    <numFmt numFmtId="299" formatCode="_-* #,##0.00\ _F_-;\-* #,##0.00\ _F_-;_-* &quot;-&quot;??\ _F_-;_-@_-"/>
    <numFmt numFmtId="300" formatCode="0.00%;[Red]\ \(0.00%\)"/>
    <numFmt numFmtId="301" formatCode="0\ &quot;mos&quot;"/>
    <numFmt numFmtId="302" formatCode="0_);[Red]\(0\)"/>
    <numFmt numFmtId="303" formatCode="0.000"/>
    <numFmt numFmtId="304" formatCode="&quot;$&quot;#,##0.0;[Red]\(&quot;$&quot;#,##0.0\)"/>
    <numFmt numFmtId="305" formatCode="\$#,##0_);\$\(#,##0\);_-* &quot;--&quot;_-;_-@_-"/>
    <numFmt numFmtId="306" formatCode="\$#,##0.0_);\$\(#,##0.0\);_-* &quot;--&quot;_-;_-@_-"/>
    <numFmt numFmtId="307" formatCode="#,##0.0,_);\(#,##0.0,\)"/>
    <numFmt numFmtId="308" formatCode="#,##0.0_);\(#,##0.0\);@*."/>
    <numFmt numFmtId="309" formatCode="#,#00"/>
    <numFmt numFmtId="310" formatCode="0.0&quot;x&quot;;@_)"/>
    <numFmt numFmtId="311" formatCode="#,##0.0%_);\(#,##0.0%\);0.0%_)"/>
    <numFmt numFmtId="312" formatCode="#,##0.000000"/>
    <numFmt numFmtId="313" formatCode="0.0%;[Red]\(0.0%\)"/>
    <numFmt numFmtId="314" formatCode="#,##0.00_)\ \x;\(#,##0.00\)\ \x"/>
    <numFmt numFmtId="315" formatCode="&quot;$&quot;#,##0.00;[Red]&quot;$&quot;\-#,##0.00"/>
    <numFmt numFmtId="316" formatCode="0.00\x"/>
    <numFmt numFmtId="317" formatCode="&quot;Proj &quot;0"/>
    <numFmt numFmtId="318" formatCode="#,##0.0%;\(#,##0.0%\)"/>
    <numFmt numFmtId="319" formatCode="#,##0.00;\(#,##0.00\)"/>
    <numFmt numFmtId="320" formatCode="_ \ * #,##0.0_);_ \ * \(#,##0.0\)"/>
    <numFmt numFmtId="321" formatCode="0.0%;[Red]\ \(0.0%\)"/>
    <numFmt numFmtId="322" formatCode="_-* #,##0.00\ _D_M_-;\-* #,##0.00\ _D_M_-;_-* &quot;-&quot;??\ _D_M_-;_-@_-"/>
    <numFmt numFmtId="323" formatCode="&quot;$&quot;#,##0.0_);\(&quot;$&quot;#,##0.0\)"/>
    <numFmt numFmtId="324" formatCode="#,##0.0,,_);\(#,##0.0,,\)"/>
    <numFmt numFmtId="325" formatCode="#,##0.0\x_);\(#,##0.0\x\)"/>
    <numFmt numFmtId="326" formatCode="#,##0%_);\(#,##0%\)"/>
    <numFmt numFmtId="327" formatCode="&quot;$&quot;#,##0.000_);[Red]\(&quot;$&quot;#,##0.000\);&quot;--  &quot;;_(@_)"/>
    <numFmt numFmtId="328" formatCode="_(* #,##0\ \x_);_(* \(#,##0\ \x\);_(* &quot;-&quot;??_);_(@_)"/>
    <numFmt numFmtId="329" formatCode="0.0%_);\(0.0%\);0.0%_);@_)"/>
    <numFmt numFmtId="330" formatCode="0.0\x_);\(0.0\x\);0.0\x_);@_)"/>
    <numFmt numFmtId="331" formatCode="0.00%_);\(0.00%\);0.00%_);@_)"/>
    <numFmt numFmtId="332" formatCode="m/d/yy"/>
    <numFmt numFmtId="333" formatCode="&quot;$&quot;_(#,##0.00_);&quot;$&quot;\(#,##0.00\);&quot;$&quot;_(0.00_);@_)"/>
    <numFmt numFmtId="334" formatCode="0.0%_);\(0.0%\);\ \-\-\ "/>
    <numFmt numFmtId="335" formatCode="#,##0.00_);\(#,##0.00\);0.00_);@_)"/>
    <numFmt numFmtId="336" formatCode="&quot;£&quot;_(#,##0.00_);&quot;£&quot;\(#,##0.00\)"/>
    <numFmt numFmtId="337" formatCode="0.00&quot;      &quot;"/>
    <numFmt numFmtId="338" formatCode="\€_(#,##0.00_);\€\(#,##0.00\);\€_(0.00_);@_)"/>
    <numFmt numFmtId="339" formatCode="&quot;€&quot;_(#,##0.00_);&quot;€&quot;\(#,##0.00\);&quot;€&quot;_(0.00_);@_)"/>
    <numFmt numFmtId="340" formatCode="#,##0.0000;\-#,##0.0000"/>
    <numFmt numFmtId="341" formatCode="_(* #,##0.000_)\ \ ;_(* \(#,##0.000\)\ \ ;_(* &quot;-&quot;??_)\ \ ;_(@_)"/>
    <numFmt numFmtId="342" formatCode="#,##0.00;\(#,##0.00\);\-"/>
    <numFmt numFmtId="343" formatCode="###0&quot;A&quot;"/>
    <numFmt numFmtId="344" formatCode="#,##0.00000;\-#,##0.00000"/>
    <numFmt numFmtId="345" formatCode="0.0&quot;x&quot;\ \ \ \ "/>
    <numFmt numFmtId="346" formatCode="#,##0\ _F;\(#,##0\)\ _F;\-\ _F"/>
    <numFmt numFmtId="347" formatCode="#,##0;\(###0\);\-"/>
    <numFmt numFmtId="348" formatCode="_(* #,##0.0_)\ \ ;_(* \(#,##0.0\)\ \ ;_(* &quot;-&quot;??_)\ \ ;_(@_)"/>
    <numFmt numFmtId="349" formatCode="#,##0\ _F;\(#,##0\)\ _F"/>
    <numFmt numFmtId="350" formatCode="0%_);\(0%\);\ \-\-\ "/>
    <numFmt numFmtId="351" formatCode="&quot;F&quot;#,##0_);\(&quot;F&quot;#,##0\)"/>
    <numFmt numFmtId="352" formatCode="#,##0_)"/>
    <numFmt numFmtId="353" formatCode="0&quot;A&quot;"/>
    <numFmt numFmtId="354" formatCode="0\A"/>
    <numFmt numFmtId="355" formatCode="0.00%&quot; Stock Pooling&quot;"/>
    <numFmt numFmtId="356" formatCode="#,##0_);\(#,##0\);\-_);"/>
    <numFmt numFmtId="357" formatCode="###0.0;\(###0.0\)"/>
    <numFmt numFmtId="358" formatCode="0\ \ ;\(0\)\ \ \ "/>
    <numFmt numFmtId="359" formatCode="_-* #,##0.0\ _F_-;\-* #,##0.0\ _F_-;_-* &quot;-&quot;?\ _F_-;_-@_-"/>
    <numFmt numFmtId="360" formatCode="&quot;$&quot;#,##0.00_)_x_x_x;\(&quot;$&quot;#,##0.00\)_x_x_x"/>
    <numFmt numFmtId="361" formatCode="_-* #,##0.00\ &quot;F&quot;_-;\-* #,##0.00\ &quot;F&quot;_-;_-* &quot;-&quot;??\ &quot;F&quot;_-;_-@_-"/>
    <numFmt numFmtId="362" formatCode="###0.0_);\(###0.0\)"/>
    <numFmt numFmtId="363" formatCode="\+* #,##0.00;[Red]\-* #,##0.00"/>
    <numFmt numFmtId="364" formatCode="\+* #,##0;[Red]\-* #,##0"/>
    <numFmt numFmtId="365" formatCode="#,##0.00_);\(#,##0.00\);#,##0.00_);@_)"/>
    <numFmt numFmtId="366" formatCode="#,##0.0_);\(#,##0.0\);&quot;-  &quot;;@_)"/>
  </numFmts>
  <fonts count="343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sz val="8"/>
      <color rgb="FF0000E1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4" fontId="28" fillId="11" borderId="0">
      <alignment horizontal="right"/>
    </xf>
    <xf numFmtId="0" fontId="6" fillId="0" borderId="0">
      <alignment vertical="center"/>
    </xf>
    <xf numFmtId="173" fontId="8" fillId="3" borderId="25"/>
    <xf numFmtId="185" fontId="31" fillId="0" borderId="0">
      <alignment horizontal="right"/>
    </xf>
    <xf numFmtId="173" fontId="32" fillId="14" borderId="0"/>
    <xf numFmtId="186" fontId="33" fillId="0" borderId="0" applyFont="0" applyFill="0" applyBorder="0" applyAlignment="0" applyProtection="0"/>
    <xf numFmtId="0" fontId="2" fillId="0" borderId="0"/>
    <xf numFmtId="186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" fillId="0" borderId="0"/>
    <xf numFmtId="0" fontId="6" fillId="0" borderId="0"/>
    <xf numFmtId="188" fontId="6" fillId="0" borderId="0"/>
    <xf numFmtId="189" fontId="35" fillId="0" borderId="0"/>
    <xf numFmtId="190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81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82" fontId="38" fillId="0" borderId="11" applyFont="0" applyFill="0" applyBorder="0" applyAlignment="0" applyProtection="0"/>
    <xf numFmtId="173" fontId="35" fillId="0" borderId="0" applyFont="0" applyFill="0" applyBorder="0" applyAlignment="0" applyProtection="0"/>
    <xf numFmtId="192" fontId="35" fillId="0" borderId="0" applyFont="0" applyFill="0" applyBorder="0" applyAlignment="0"/>
    <xf numFmtId="193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9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8" fontId="6" fillId="0" borderId="0" applyFont="0" applyFill="0" applyBorder="0" applyAlignment="0" applyProtection="0"/>
    <xf numFmtId="19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02" fontId="4" fillId="0" borderId="0" applyFont="0" applyFill="0" applyBorder="0" applyAlignment="0" applyProtection="0"/>
    <xf numFmtId="18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85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170" fontId="4" fillId="3" borderId="26"/>
    <xf numFmtId="170" fontId="4" fillId="3" borderId="26"/>
    <xf numFmtId="170" fontId="4" fillId="3" borderId="26"/>
    <xf numFmtId="170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170" fontId="4" fillId="3" borderId="26"/>
    <xf numFmtId="170" fontId="4" fillId="3" borderId="26"/>
    <xf numFmtId="3" fontId="4" fillId="3" borderId="26">
      <alignment horizontal="right"/>
    </xf>
    <xf numFmtId="20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3" fontId="4" fillId="0" borderId="0" applyFont="0" applyFill="0" applyBorder="0" applyAlignment="0" applyProtection="0"/>
    <xf numFmtId="214" fontId="35" fillId="0" borderId="0" applyFont="0" applyFill="0" applyBorder="0" applyAlignment="0" applyProtection="0"/>
    <xf numFmtId="214" fontId="35" fillId="0" borderId="0" applyFont="0" applyFill="0" applyBorder="0" applyAlignment="0" applyProtection="0"/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15" fontId="4" fillId="0" borderId="0" applyFont="0" applyFill="0" applyBorder="0" applyAlignment="0" applyProtection="0"/>
    <xf numFmtId="216" fontId="6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35" fillId="0" borderId="0" applyFont="0" applyFill="0" applyBorder="0" applyAlignment="0" applyProtection="0"/>
    <xf numFmtId="218" fontId="35" fillId="0" borderId="0" applyFont="0" applyFill="0" applyBorder="0" applyAlignment="0" applyProtection="0"/>
    <xf numFmtId="216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9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220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221" fontId="4" fillId="0" borderId="0" applyFont="0" applyFill="0" applyBorder="0" applyAlignment="0" applyProtection="0"/>
    <xf numFmtId="222" fontId="6" fillId="0" borderId="0" applyFont="0" applyFill="0" applyBorder="0" applyAlignment="0" applyProtection="0"/>
    <xf numFmtId="187" fontId="4" fillId="0" borderId="0" applyFont="0" applyFill="0" applyBorder="0" applyAlignment="0" applyProtection="0"/>
    <xf numFmtId="186" fontId="35" fillId="0" borderId="0" applyFont="0" applyFill="0" applyBorder="0" applyAlignment="0" applyProtection="0"/>
    <xf numFmtId="186" fontId="35" fillId="0" borderId="0" applyFont="0" applyFill="0" applyBorder="0" applyAlignment="0" applyProtection="0"/>
    <xf numFmtId="222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202" fontId="35" fillId="0" borderId="0" applyFont="0" applyFill="0" applyBorder="0" applyAlignment="0" applyProtection="0"/>
    <xf numFmtId="223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227" fontId="33" fillId="0" borderId="0" applyFont="0" applyFill="0" applyBorder="0" applyAlignment="0" applyProtection="0"/>
    <xf numFmtId="227" fontId="33" fillId="0" borderId="0" applyFont="0" applyFill="0" applyBorder="0" applyAlignment="0" applyProtection="0"/>
    <xf numFmtId="183" fontId="33" fillId="0" borderId="0" applyFont="0" applyFill="0" applyBorder="0" applyAlignment="0" applyProtection="0"/>
    <xf numFmtId="225" fontId="38" fillId="0" borderId="0" applyFont="0" applyFill="0" applyBorder="0" applyAlignment="0" applyProtection="0"/>
    <xf numFmtId="228" fontId="6" fillId="0" borderId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194" fontId="35" fillId="0" borderId="0"/>
    <xf numFmtId="232" fontId="35" fillId="0" borderId="0"/>
    <xf numFmtId="195" fontId="35" fillId="0" borderId="0"/>
    <xf numFmtId="233" fontId="53" fillId="0" borderId="0" applyFont="0" applyFill="0" applyBorder="0" applyAlignment="0" applyProtection="0"/>
    <xf numFmtId="234" fontId="53" fillId="0" borderId="0" applyFont="0" applyFill="0" applyBorder="0" applyAlignment="0" applyProtection="0"/>
    <xf numFmtId="235" fontId="53" fillId="0" borderId="0" applyFont="0" applyFill="0" applyBorder="0" applyAlignment="0" applyProtection="0"/>
    <xf numFmtId="236" fontId="53" fillId="0" borderId="0" applyFont="0" applyFill="0" applyBorder="0" applyAlignment="0" applyProtection="0"/>
    <xf numFmtId="237" fontId="53" fillId="0" borderId="0" applyFont="0" applyFill="0" applyBorder="0" applyAlignment="0" applyProtection="0"/>
    <xf numFmtId="238" fontId="54" fillId="0" borderId="0" applyFont="0" applyFill="0" applyBorder="0" applyAlignment="0" applyProtection="0"/>
    <xf numFmtId="226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203" fontId="56" fillId="0" borderId="0"/>
    <xf numFmtId="223" fontId="4" fillId="0" borderId="0">
      <alignment horizontal="left"/>
      <protection locked="0"/>
    </xf>
    <xf numFmtId="181" fontId="56" fillId="0" borderId="0"/>
    <xf numFmtId="183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83" fontId="56" fillId="0" borderId="0"/>
    <xf numFmtId="182" fontId="38" fillId="0" borderId="0"/>
    <xf numFmtId="182" fontId="38" fillId="0" borderId="0"/>
    <xf numFmtId="239" fontId="38" fillId="0" borderId="0">
      <alignment horizontal="center"/>
    </xf>
    <xf numFmtId="240" fontId="33" fillId="0" borderId="0" applyFont="0" applyFill="0" applyBorder="0" applyAlignment="0" applyProtection="0"/>
    <xf numFmtId="185" fontId="4" fillId="0" borderId="0" applyFont="0" applyFill="0" applyBorder="0" applyAlignment="0" applyProtection="0"/>
    <xf numFmtId="173" fontId="4" fillId="0" borderId="0"/>
    <xf numFmtId="173" fontId="4" fillId="0" borderId="0">
      <alignment horizontal="right"/>
    </xf>
    <xf numFmtId="37" fontId="58" fillId="0" borderId="0">
      <alignment horizontal="center"/>
    </xf>
    <xf numFmtId="173" fontId="59" fillId="0" borderId="0">
      <alignment horizontal="center"/>
    </xf>
    <xf numFmtId="168" fontId="60" fillId="0" borderId="0"/>
    <xf numFmtId="241" fontId="4" fillId="0" borderId="0"/>
    <xf numFmtId="242" fontId="4" fillId="0" borderId="0"/>
    <xf numFmtId="243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73" fontId="62" fillId="3" borderId="17" applyAlignment="0"/>
    <xf numFmtId="174" fontId="62" fillId="3" borderId="17" applyAlignment="0"/>
    <xf numFmtId="181" fontId="62" fillId="3" borderId="17"/>
    <xf numFmtId="168" fontId="60" fillId="3" borderId="25"/>
    <xf numFmtId="241" fontId="4" fillId="3" borderId="25"/>
    <xf numFmtId="181" fontId="60" fillId="3" borderId="25"/>
    <xf numFmtId="0" fontId="63" fillId="0" borderId="33" applyNumberFormat="0" applyFill="0" applyAlignment="0" applyProtection="0"/>
    <xf numFmtId="182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23" fontId="4" fillId="32" borderId="17" applyProtection="0">
      <alignment horizontal="right"/>
      <protection locked="0"/>
    </xf>
    <xf numFmtId="240" fontId="6" fillId="32" borderId="17" applyProtection="0">
      <alignment horizontal="right"/>
      <protection locked="0"/>
    </xf>
    <xf numFmtId="185" fontId="4" fillId="32" borderId="17" applyProtection="0">
      <alignment horizontal="right"/>
      <protection locked="0"/>
    </xf>
    <xf numFmtId="244" fontId="4" fillId="32" borderId="17" applyProtection="0">
      <alignment horizontal="right"/>
    </xf>
    <xf numFmtId="245" fontId="4" fillId="32" borderId="17" applyProtection="0">
      <alignment horizontal="right"/>
    </xf>
    <xf numFmtId="246" fontId="4" fillId="32" borderId="17" applyProtection="0">
      <alignment horizontal="right"/>
    </xf>
    <xf numFmtId="247" fontId="4" fillId="32" borderId="17" applyProtection="0">
      <alignment horizontal="right"/>
    </xf>
    <xf numFmtId="198" fontId="4" fillId="32" borderId="17" applyProtection="0">
      <alignment horizontal="right"/>
    </xf>
    <xf numFmtId="207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8" fontId="6" fillId="0" borderId="0"/>
    <xf numFmtId="189" fontId="35" fillId="0" borderId="0"/>
    <xf numFmtId="9" fontId="37" fillId="0" borderId="0"/>
    <xf numFmtId="181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8" fontId="3" fillId="3" borderId="20" applyFill="0" applyBorder="0" applyAlignment="0" applyProtection="0"/>
    <xf numFmtId="178" fontId="66" fillId="0" borderId="0"/>
    <xf numFmtId="0" fontId="31" fillId="0" borderId="0"/>
    <xf numFmtId="0" fontId="31" fillId="0" borderId="0"/>
    <xf numFmtId="178" fontId="66" fillId="0" borderId="0"/>
    <xf numFmtId="194" fontId="35" fillId="0" borderId="0"/>
    <xf numFmtId="232" fontId="35" fillId="0" borderId="0"/>
    <xf numFmtId="195" fontId="35" fillId="0" borderId="0"/>
    <xf numFmtId="249" fontId="37" fillId="0" borderId="0"/>
    <xf numFmtId="0" fontId="37" fillId="0" borderId="0"/>
    <xf numFmtId="185" fontId="37" fillId="0" borderId="0"/>
    <xf numFmtId="170" fontId="37" fillId="0" borderId="0"/>
    <xf numFmtId="228" fontId="32" fillId="0" borderId="0" applyFont="0" applyFill="0" applyBorder="0" applyAlignment="0" applyProtection="0"/>
    <xf numFmtId="0" fontId="60" fillId="0" borderId="0"/>
    <xf numFmtId="211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9" fontId="4" fillId="32" borderId="17" applyFont="0" applyFill="0" applyBorder="0" applyAlignment="0" applyProtection="0"/>
    <xf numFmtId="248" fontId="6" fillId="0" borderId="0"/>
    <xf numFmtId="0" fontId="31" fillId="0" borderId="0" applyNumberFormat="0" applyBorder="0" applyAlignment="0"/>
    <xf numFmtId="248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50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73" fontId="35" fillId="0" borderId="0" applyNumberFormat="0" applyFont="0" applyAlignment="0" applyProtection="0"/>
    <xf numFmtId="251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252" fontId="7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256" fontId="4" fillId="0" borderId="0" applyFont="0" applyFill="0" applyBorder="0" applyAlignment="0" applyProtection="0"/>
    <xf numFmtId="257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58" fontId="4" fillId="0" borderId="0" applyFont="0" applyFill="0" applyBorder="0" applyAlignment="0" applyProtection="0"/>
    <xf numFmtId="259" fontId="4" fillId="0" borderId="0" applyFont="0" applyFill="0" applyBorder="0" applyAlignment="0" applyProtection="0"/>
    <xf numFmtId="260" fontId="4" fillId="0" borderId="0" applyFont="0" applyFill="0" applyBorder="0" applyAlignment="0" applyProtection="0"/>
    <xf numFmtId="261" fontId="4" fillId="0" borderId="0" applyNumberFormat="0" applyFont="0" applyAlignment="0"/>
    <xf numFmtId="0" fontId="75" fillId="35" borderId="0" applyNumberFormat="0" applyBorder="0">
      <alignment horizontal="center" vertical="center"/>
    </xf>
    <xf numFmtId="173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50" fontId="17" fillId="0" borderId="0">
      <protection locked="0"/>
    </xf>
    <xf numFmtId="1" fontId="78" fillId="35" borderId="0" applyBorder="0" applyAlignment="0" applyProtection="0"/>
    <xf numFmtId="213" fontId="4" fillId="0" borderId="0">
      <alignment horizontal="right"/>
    </xf>
    <xf numFmtId="262" fontId="4" fillId="0" borderId="0" applyBorder="0" applyProtection="0"/>
    <xf numFmtId="263" fontId="4" fillId="0" borderId="0"/>
    <xf numFmtId="0" fontId="38" fillId="0" borderId="0"/>
    <xf numFmtId="264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65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65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61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66" fontId="4" fillId="0" borderId="11" applyFill="0" applyAlignment="0" applyProtection="0">
      <alignment horizontal="center"/>
    </xf>
    <xf numFmtId="0" fontId="31" fillId="0" borderId="8"/>
    <xf numFmtId="173" fontId="83" fillId="0" borderId="38" applyBorder="0"/>
    <xf numFmtId="267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32" fontId="4" fillId="0" borderId="0" applyAlignment="0" applyProtection="0"/>
    <xf numFmtId="181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61" fontId="4" fillId="0" borderId="0" applyFont="0" applyFill="0" applyBorder="0" applyAlignment="0">
      <alignment horizontal="right"/>
    </xf>
    <xf numFmtId="249" fontId="37" fillId="0" borderId="8"/>
    <xf numFmtId="170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9" fontId="38" fillId="0" borderId="0" applyFont="0" applyFill="0" applyBorder="0" applyAlignment="0" applyProtection="0"/>
    <xf numFmtId="268" fontId="4" fillId="0" borderId="0" applyFont="0" applyFill="0" applyBorder="0" applyProtection="0">
      <alignment horizontal="left"/>
    </xf>
    <xf numFmtId="269" fontId="4" fillId="0" borderId="0" applyFont="0" applyFill="0" applyBorder="0" applyProtection="0">
      <alignment horizontal="left"/>
    </xf>
    <xf numFmtId="270" fontId="4" fillId="0" borderId="0" applyFont="0" applyFill="0" applyBorder="0" applyProtection="0">
      <alignment horizontal="left"/>
    </xf>
    <xf numFmtId="271" fontId="4" fillId="36" borderId="0" applyFont="0" applyFill="0" applyBorder="0" applyAlignment="0" applyProtection="0">
      <alignment horizontal="center" vertical="top"/>
    </xf>
    <xf numFmtId="192" fontId="6" fillId="0" borderId="0"/>
    <xf numFmtId="205" fontId="35" fillId="0" borderId="0"/>
    <xf numFmtId="272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170" fontId="31" fillId="0" borderId="0">
      <alignment horizontal="right"/>
    </xf>
    <xf numFmtId="170" fontId="31" fillId="0" borderId="0">
      <alignment horizontal="right"/>
    </xf>
    <xf numFmtId="170" fontId="31" fillId="0" borderId="0">
      <alignment horizontal="right"/>
    </xf>
    <xf numFmtId="17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73" fontId="4" fillId="0" borderId="0" applyFill="0" applyBorder="0" applyAlignment="0"/>
    <xf numFmtId="274" fontId="4" fillId="0" borderId="0" applyFill="0" applyBorder="0" applyAlignment="0"/>
    <xf numFmtId="197" fontId="4" fillId="0" borderId="0" applyFill="0" applyBorder="0" applyAlignment="0"/>
    <xf numFmtId="187" fontId="4" fillId="0" borderId="0" applyFill="0" applyBorder="0" applyAlignment="0"/>
    <xf numFmtId="190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4" fillId="0" borderId="0" applyAlignment="0" applyProtection="0"/>
    <xf numFmtId="266" fontId="4" fillId="37" borderId="0" applyNumberFormat="0" applyFont="0" applyBorder="0" applyAlignment="0"/>
    <xf numFmtId="0" fontId="68" fillId="0" borderId="0" applyFont="0" applyFill="0" applyBorder="0" applyAlignment="0" applyProtection="0"/>
    <xf numFmtId="275" fontId="4" fillId="0" borderId="40"/>
    <xf numFmtId="0" fontId="10" fillId="0" borderId="0" applyNumberFormat="0" applyBorder="0" applyAlignment="0" applyProtection="0"/>
    <xf numFmtId="266" fontId="4" fillId="0" borderId="0"/>
    <xf numFmtId="166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66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61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73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31" fontId="103" fillId="0" borderId="0"/>
    <xf numFmtId="276" fontId="104" fillId="32" borderId="0" applyFont="0" applyFill="0" applyBorder="0" applyAlignment="0" applyProtection="0"/>
    <xf numFmtId="37" fontId="4" fillId="0" borderId="0"/>
    <xf numFmtId="173" fontId="4" fillId="0" borderId="0"/>
    <xf numFmtId="277" fontId="104" fillId="0" borderId="0" applyFont="0" applyFill="0" applyBorder="0" applyAlignment="0" applyProtection="0">
      <alignment horizontal="left" indent="1"/>
    </xf>
    <xf numFmtId="39" fontId="4" fillId="14" borderId="0"/>
    <xf numFmtId="168" fontId="105" fillId="0" borderId="0" applyFont="0" applyBorder="0">
      <alignment horizontal="right"/>
    </xf>
    <xf numFmtId="168" fontId="15" fillId="0" borderId="8"/>
    <xf numFmtId="273" fontId="4" fillId="0" borderId="0" applyFont="0" applyFill="0" applyBorder="0" applyAlignment="0" applyProtection="0"/>
    <xf numFmtId="185" fontId="106" fillId="0" borderId="0" applyFont="0" applyFill="0" applyBorder="0" applyAlignment="0" applyProtection="0"/>
    <xf numFmtId="185" fontId="15" fillId="0" borderId="8"/>
    <xf numFmtId="173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81" fontId="4" fillId="0" borderId="8"/>
    <xf numFmtId="170" fontId="5" fillId="0" borderId="0"/>
    <xf numFmtId="178" fontId="35" fillId="0" borderId="0" applyFont="0" applyFill="0" applyBorder="0" applyAlignment="0" applyProtection="0"/>
    <xf numFmtId="278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9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74" fontId="4" fillId="0" borderId="0" applyFont="0" applyFill="0" applyBorder="0" applyAlignment="0" applyProtection="0"/>
    <xf numFmtId="173" fontId="4" fillId="0" borderId="0"/>
    <xf numFmtId="3" fontId="29" fillId="0" borderId="0" applyFont="0" applyFill="0" applyBorder="0" applyAlignment="0" applyProtection="0"/>
    <xf numFmtId="255" fontId="108" fillId="0" borderId="0"/>
    <xf numFmtId="0" fontId="109" fillId="0" borderId="0"/>
    <xf numFmtId="280" fontId="108" fillId="0" borderId="0"/>
    <xf numFmtId="260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73" fontId="111" fillId="0" borderId="0"/>
    <xf numFmtId="281" fontId="94" fillId="0" borderId="0" applyFill="0" applyBorder="0">
      <alignment horizontal="left"/>
    </xf>
    <xf numFmtId="282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83" fontId="4" fillId="0" borderId="43" applyFont="0" applyFill="0" applyBorder="0" applyAlignment="0" applyProtection="0"/>
    <xf numFmtId="228" fontId="4" fillId="0" borderId="8"/>
    <xf numFmtId="274" fontId="4" fillId="0" borderId="0" applyFont="0" applyFill="0" applyBorder="0" applyAlignment="0" applyProtection="0"/>
    <xf numFmtId="251" fontId="6" fillId="0" borderId="0" applyFont="0" applyFill="0" applyBorder="0" applyAlignment="0"/>
    <xf numFmtId="196" fontId="4" fillId="0" borderId="8"/>
    <xf numFmtId="192" fontId="4" fillId="0" borderId="0" applyFont="0" applyFill="0" applyBorder="0" applyAlignment="0" applyProtection="0"/>
    <xf numFmtId="284" fontId="116" fillId="0" borderId="0" applyFont="0" applyBorder="0"/>
    <xf numFmtId="169" fontId="15" fillId="0" borderId="8"/>
    <xf numFmtId="285" fontId="4" fillId="0" borderId="0" applyFont="0" applyFill="0" applyBorder="0" applyAlignment="0" applyProtection="0"/>
    <xf numFmtId="281" fontId="4" fillId="0" borderId="0" applyFont="0" applyFill="0" applyBorder="0" applyAlignment="0" applyProtection="0"/>
    <xf numFmtId="286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165" fontId="15" fillId="0" borderId="8"/>
    <xf numFmtId="18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7" fontId="4" fillId="0" borderId="0" applyFont="0" applyFill="0" applyBorder="0" applyAlignment="0" applyProtection="0"/>
    <xf numFmtId="288" fontId="6" fillId="0" borderId="0" applyFont="0" applyFill="0" applyBorder="0" applyAlignment="0" applyProtection="0"/>
    <xf numFmtId="166" fontId="56" fillId="14" borderId="0" applyFont="0" applyFill="0" applyBorder="0" applyAlignment="0" applyProtection="0"/>
    <xf numFmtId="273" fontId="4" fillId="0" borderId="0" applyFont="0" applyFill="0" applyBorder="0" applyAlignment="0" applyProtection="0"/>
    <xf numFmtId="246" fontId="6" fillId="0" borderId="0" applyFont="0" applyFill="0" applyBorder="0" applyAlignment="0" applyProtection="0"/>
    <xf numFmtId="249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30" fontId="38" fillId="0" borderId="0" applyFont="0" applyFill="0" applyBorder="0" applyAlignment="0" applyProtection="0"/>
    <xf numFmtId="182" fontId="4" fillId="0" borderId="0" applyProtection="0">
      <alignment horizontal="right"/>
    </xf>
    <xf numFmtId="182" fontId="24" fillId="0" borderId="0" applyProtection="0"/>
    <xf numFmtId="15" fontId="118" fillId="0" borderId="8" applyBorder="0">
      <alignment horizontal="center"/>
    </xf>
    <xf numFmtId="289" fontId="4" fillId="0" borderId="0" applyFont="0" applyFill="0" applyBorder="0" applyProtection="0"/>
    <xf numFmtId="290" fontId="4" fillId="0" borderId="0" applyFont="0" applyFill="0" applyBorder="0" applyAlignment="0" applyProtection="0"/>
    <xf numFmtId="15" fontId="24" fillId="0" borderId="0" applyFill="0" applyBorder="0" applyAlignment="0"/>
    <xf numFmtId="280" fontId="4" fillId="0" borderId="0" applyFont="0" applyFill="0" applyBorder="0" applyAlignment="0" applyProtection="0"/>
    <xf numFmtId="291" fontId="4" fillId="0" borderId="0" applyFont="0" applyFill="0" applyBorder="0" applyProtection="0"/>
    <xf numFmtId="292" fontId="4" fillId="0" borderId="0" applyFont="0" applyFill="0" applyBorder="0" applyAlignment="0" applyProtection="0"/>
    <xf numFmtId="293" fontId="4" fillId="0" borderId="0" applyFont="0" applyFill="0" applyBorder="0" applyAlignment="0" applyProtection="0"/>
    <xf numFmtId="294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8" fontId="6" fillId="3" borderId="44" applyFont="0" applyFill="0" applyBorder="0" applyAlignment="0" applyProtection="0"/>
    <xf numFmtId="295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296" fontId="4" fillId="3" borderId="0" applyFont="0" applyFill="0" applyBorder="0" applyAlignment="0" applyProtection="0"/>
    <xf numFmtId="17" fontId="24" fillId="0" borderId="0" applyFill="0" applyBorder="0">
      <alignment horizontal="right"/>
    </xf>
    <xf numFmtId="297" fontId="24" fillId="0" borderId="11"/>
    <xf numFmtId="298" fontId="4" fillId="0" borderId="0" applyFont="0" applyFill="0" applyBorder="0" applyAlignment="0" applyProtection="0"/>
    <xf numFmtId="299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300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8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301" fontId="4" fillId="0" borderId="0" applyFont="0" applyFill="0" applyBorder="0" applyAlignment="0" applyProtection="0"/>
    <xf numFmtId="302" fontId="4" fillId="0" borderId="0" applyFont="0" applyFill="0" applyBorder="0" applyAlignment="0" applyProtection="0"/>
    <xf numFmtId="303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304" fontId="90" fillId="0" borderId="0"/>
    <xf numFmtId="165" fontId="4" fillId="0" borderId="0"/>
    <xf numFmtId="305" fontId="74" fillId="0" borderId="0" applyFont="0" applyFill="0" applyBorder="0" applyAlignment="0" applyProtection="0"/>
    <xf numFmtId="306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167" fontId="121" fillId="0" borderId="0" applyFill="0" applyBorder="0" applyAlignment="0" applyProtection="0"/>
    <xf numFmtId="261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81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81" fontId="123" fillId="0" borderId="47" applyNumberFormat="0" applyAlignment="0" applyProtection="0">
      <alignment vertical="top"/>
    </xf>
    <xf numFmtId="213" fontId="124" fillId="0" borderId="0">
      <protection locked="0"/>
    </xf>
    <xf numFmtId="213" fontId="124" fillId="0" borderId="0">
      <protection locked="0"/>
    </xf>
    <xf numFmtId="282" fontId="27" fillId="0" borderId="48" applyNumberFormat="0" applyFont="0" applyFill="0" applyAlignment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66" fontId="32" fillId="0" borderId="0" applyFont="0" applyFill="0" applyBorder="0" applyAlignment="0" applyProtection="0">
      <alignment horizontal="right"/>
    </xf>
    <xf numFmtId="244" fontId="35" fillId="0" borderId="0" applyFont="0" applyFill="0" applyBorder="0" applyProtection="0">
      <alignment horizontal="left"/>
      <protection locked="0"/>
    </xf>
    <xf numFmtId="245" fontId="35" fillId="0" borderId="0" applyFont="0" applyFill="0" applyBorder="0" applyProtection="0">
      <alignment horizontal="left"/>
      <protection locked="0"/>
    </xf>
    <xf numFmtId="260" fontId="125" fillId="0" borderId="0" applyFill="0" applyBorder="0" applyAlignment="0" applyProtection="0"/>
    <xf numFmtId="291" fontId="6" fillId="0" borderId="0" applyFont="0" applyFill="0" applyBorder="0" applyAlignment="0" applyProtection="0"/>
    <xf numFmtId="181" fontId="6" fillId="0" borderId="0" applyFont="0" applyFill="0" applyBorder="0" applyAlignment="0" applyProtection="0"/>
    <xf numFmtId="247" fontId="6" fillId="0" borderId="0" applyFont="0" applyFill="0" applyBorder="0" applyAlignment="0" applyProtection="0"/>
    <xf numFmtId="307" fontId="4" fillId="0" borderId="0" applyFont="0" applyFill="0" applyBorder="0" applyAlignment="0" applyProtection="0"/>
    <xf numFmtId="308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7" fontId="4" fillId="0" borderId="0">
      <alignment horizontal="right" vertical="top"/>
    </xf>
    <xf numFmtId="217" fontId="4" fillId="0" borderId="0">
      <alignment horizontal="right" vertical="top"/>
    </xf>
    <xf numFmtId="272" fontId="4" fillId="0" borderId="0" applyFill="0" applyBorder="0">
      <alignment horizontal="right" vertical="top"/>
    </xf>
    <xf numFmtId="249" fontId="4" fillId="0" borderId="0" applyFill="0" applyBorder="0">
      <alignment horizontal="right" vertical="top"/>
    </xf>
    <xf numFmtId="215" fontId="4" fillId="0" borderId="0" applyFill="0" applyBorder="0">
      <alignment horizontal="right" vertical="top"/>
    </xf>
    <xf numFmtId="221" fontId="4" fillId="0" borderId="0" applyFill="0" applyBorder="0">
      <alignment horizontal="right" vertical="top"/>
    </xf>
    <xf numFmtId="0" fontId="126" fillId="0" borderId="0">
      <alignment horizontal="center" wrapText="1"/>
    </xf>
    <xf numFmtId="221" fontId="94" fillId="0" borderId="0" applyFill="0" applyBorder="0">
      <alignment vertical="top"/>
    </xf>
    <xf numFmtId="221" fontId="99" fillId="0" borderId="0" applyFill="0" applyBorder="0" applyProtection="0">
      <alignment vertical="top"/>
    </xf>
    <xf numFmtId="221" fontId="127" fillId="0" borderId="0">
      <alignment vertical="top"/>
    </xf>
    <xf numFmtId="168" fontId="128" fillId="0" borderId="0" applyFill="0" applyBorder="0" applyAlignment="0" applyProtection="0">
      <alignment horizontal="right" vertical="top"/>
    </xf>
    <xf numFmtId="221" fontId="30" fillId="0" borderId="0"/>
    <xf numFmtId="0" fontId="128" fillId="0" borderId="0" applyFill="0" applyBorder="0">
      <alignment horizontal="left" vertical="top"/>
    </xf>
    <xf numFmtId="275" fontId="74" fillId="41" borderId="13">
      <alignment horizontal="left"/>
    </xf>
    <xf numFmtId="309" fontId="119" fillId="0" borderId="0">
      <protection locked="0"/>
    </xf>
    <xf numFmtId="190" fontId="119" fillId="0" borderId="0">
      <protection locked="0"/>
    </xf>
    <xf numFmtId="250" fontId="90" fillId="0" borderId="0"/>
    <xf numFmtId="256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10" fontId="4" fillId="0" borderId="0" applyFont="0" applyFill="0" applyBorder="0" applyAlignment="0" applyProtection="0"/>
    <xf numFmtId="311" fontId="4" fillId="0" borderId="0" applyFont="0" applyFill="0" applyBorder="0" applyAlignment="0" applyProtection="0"/>
    <xf numFmtId="312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28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85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7" fontId="134" fillId="0" borderId="0" applyAlignment="0">
      <alignment horizontal="left"/>
      <protection locked="0"/>
    </xf>
    <xf numFmtId="241" fontId="4" fillId="0" borderId="0"/>
    <xf numFmtId="242" fontId="4" fillId="0" borderId="0"/>
    <xf numFmtId="0" fontId="35" fillId="0" borderId="0"/>
    <xf numFmtId="313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74" fontId="135" fillId="0" borderId="0" applyFill="0" applyBorder="0" applyAlignment="0" applyProtection="0"/>
    <xf numFmtId="0" fontId="4" fillId="0" borderId="0"/>
    <xf numFmtId="177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10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53" fontId="146" fillId="9" borderId="0"/>
    <xf numFmtId="253" fontId="146" fillId="16" borderId="0"/>
    <xf numFmtId="253" fontId="146" fillId="2" borderId="0"/>
    <xf numFmtId="192" fontId="35" fillId="0" borderId="0" applyFont="0" applyFill="0" applyBorder="0" applyAlignment="0" applyProtection="0"/>
    <xf numFmtId="192" fontId="6" fillId="0" borderId="0" applyFont="0" applyFill="0" applyBorder="0" applyAlignment="0" applyProtection="0"/>
    <xf numFmtId="282" fontId="147" fillId="43" borderId="0" applyNumberFormat="0" applyBorder="0" applyAlignment="0"/>
    <xf numFmtId="181" fontId="148" fillId="0" borderId="0" applyAlignment="0" applyProtection="0"/>
    <xf numFmtId="173" fontId="149" fillId="0" borderId="0" applyProtection="0">
      <alignment horizontal="right"/>
    </xf>
    <xf numFmtId="173" fontId="8" fillId="0" borderId="0" applyFill="0" applyBorder="0" applyAlignment="0" applyProtection="0"/>
    <xf numFmtId="262" fontId="148" fillId="0" borderId="0" applyFill="0" applyBorder="0" applyAlignment="0" applyProtection="0"/>
    <xf numFmtId="0" fontId="59" fillId="0" borderId="0">
      <alignment horizontal="center"/>
    </xf>
    <xf numFmtId="166" fontId="4" fillId="28" borderId="0" applyNumberFormat="0" applyFont="0" applyAlignment="0" applyProtection="0">
      <alignment horizontal="right"/>
      <protection locked="0"/>
    </xf>
    <xf numFmtId="282" fontId="8" fillId="0" borderId="0"/>
    <xf numFmtId="38" fontId="32" fillId="0" borderId="0" applyFont="0" applyFill="0" applyBorder="0" applyAlignment="0" applyProtection="0">
      <protection locked="0"/>
    </xf>
    <xf numFmtId="314" fontId="4" fillId="0" borderId="0" applyFont="0" applyFill="0" applyBorder="0" applyProtection="0">
      <alignment horizontal="left"/>
    </xf>
    <xf numFmtId="244" fontId="4" fillId="0" borderId="0" applyFont="0" applyFill="0" applyBorder="0" applyProtection="0">
      <alignment horizontal="left"/>
    </xf>
    <xf numFmtId="245" fontId="4" fillId="0" borderId="0" applyFont="0" applyFill="0" applyBorder="0" applyProtection="0">
      <alignment horizontal="left"/>
    </xf>
    <xf numFmtId="246" fontId="4" fillId="0" borderId="0" applyFont="0" applyFill="0" applyBorder="0" applyProtection="0">
      <alignment horizontal="left"/>
    </xf>
    <xf numFmtId="182" fontId="27" fillId="0" borderId="0"/>
    <xf numFmtId="181" fontId="150" fillId="13" borderId="0">
      <protection locked="0"/>
    </xf>
    <xf numFmtId="174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82" fontId="150" fillId="13" borderId="0" applyBorder="0">
      <alignment horizontal="right"/>
      <protection locked="0"/>
    </xf>
    <xf numFmtId="183" fontId="149" fillId="3" borderId="0"/>
    <xf numFmtId="166" fontId="4" fillId="3" borderId="0" applyFont="0" applyBorder="0" applyAlignment="0" applyProtection="0">
      <protection locked="0"/>
    </xf>
    <xf numFmtId="228" fontId="6" fillId="3" borderId="0" applyFont="0" applyBorder="0" applyAlignment="0" applyProtection="0">
      <protection locked="0"/>
    </xf>
    <xf numFmtId="256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9" fontId="149" fillId="3" borderId="0"/>
    <xf numFmtId="228" fontId="4" fillId="3" borderId="0">
      <protection locked="0"/>
    </xf>
    <xf numFmtId="37" fontId="149" fillId="3" borderId="0"/>
    <xf numFmtId="173" fontId="149" fillId="3" borderId="0"/>
    <xf numFmtId="0" fontId="3" fillId="2" borderId="0" applyNumberFormat="0"/>
    <xf numFmtId="313" fontId="4" fillId="3" borderId="0" applyFont="0" applyBorder="0" applyAlignment="0">
      <protection locked="0"/>
    </xf>
    <xf numFmtId="10" fontId="4" fillId="3" borderId="0">
      <protection locked="0"/>
    </xf>
    <xf numFmtId="281" fontId="6" fillId="3" borderId="0" applyFont="0" applyBorder="0" applyAlignment="0">
      <protection locked="0"/>
    </xf>
    <xf numFmtId="228" fontId="93" fillId="3" borderId="0" applyNumberFormat="0" applyBorder="0" applyAlignment="0">
      <protection locked="0"/>
    </xf>
    <xf numFmtId="315" fontId="149" fillId="0" borderId="0" applyProtection="0">
      <alignment horizontal="right"/>
    </xf>
    <xf numFmtId="313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16" fontId="4" fillId="0" borderId="0" applyFill="0" applyBorder="0" applyProtection="0">
      <alignment vertical="center"/>
    </xf>
    <xf numFmtId="249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7" fontId="4" fillId="0" borderId="0" applyFill="0" applyBorder="0" applyProtection="0">
      <alignment vertical="center"/>
    </xf>
    <xf numFmtId="318" fontId="149" fillId="3" borderId="49" applyProtection="0"/>
    <xf numFmtId="319" fontId="4" fillId="0" borderId="0" applyFill="0" applyBorder="0" applyProtection="0">
      <alignment vertical="center"/>
    </xf>
    <xf numFmtId="228" fontId="4" fillId="3" borderId="0" applyNumberFormat="0" applyFont="0" applyBorder="0" applyAlignment="0" applyProtection="0">
      <alignment horizontal="center"/>
      <protection locked="0"/>
    </xf>
    <xf numFmtId="179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20" fontId="4" fillId="0" borderId="0" applyFont="0" applyFill="0" applyBorder="0" applyAlignment="0" applyProtection="0"/>
    <xf numFmtId="262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82" fontId="6" fillId="0" borderId="0" applyFont="0" applyFill="0" applyAlignment="0" applyProtection="0"/>
    <xf numFmtId="260" fontId="133" fillId="0" borderId="0" applyFill="0" applyBorder="0" applyAlignment="0" applyProtection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173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21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7" fontId="56" fillId="0" borderId="0" applyFont="0" applyFill="0" applyBorder="0" applyAlignment="0" applyProtection="0"/>
    <xf numFmtId="322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23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279" fontId="4" fillId="0" borderId="51" applyFont="0" applyFill="0" applyBorder="0" applyAlignment="0" applyProtection="0">
      <alignment horizontal="center"/>
    </xf>
    <xf numFmtId="324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23" fontId="66" fillId="0" borderId="0" applyFont="0" applyFill="0" applyBorder="0" applyAlignment="0" applyProtection="0"/>
    <xf numFmtId="288" fontId="4" fillId="0" borderId="0" applyFont="0" applyFill="0" applyBorder="0" applyAlignment="0" applyProtection="0"/>
    <xf numFmtId="325" fontId="72" fillId="0" borderId="0" applyFont="0" applyFill="0" applyBorder="0" applyAlignment="0" applyProtection="0"/>
    <xf numFmtId="326" fontId="72" fillId="0" borderId="0" applyFont="0" applyFill="0" applyBorder="0" applyAlignment="0" applyProtection="0"/>
    <xf numFmtId="319" fontId="4" fillId="0" borderId="0" applyFont="0" applyFill="0" applyBorder="0" applyAlignment="0" applyProtection="0"/>
    <xf numFmtId="316" fontId="4" fillId="0" borderId="0" applyFont="0" applyFill="0" applyBorder="0" applyAlignment="0" applyProtection="0"/>
    <xf numFmtId="3" fontId="38" fillId="0" borderId="0"/>
    <xf numFmtId="241" fontId="4" fillId="45" borderId="0" applyFill="0" applyBorder="0" applyAlignment="0" applyProtection="0">
      <alignment horizontal="center"/>
      <protection locked="0"/>
    </xf>
    <xf numFmtId="3" fontId="38" fillId="0" borderId="0"/>
    <xf numFmtId="327" fontId="4" fillId="0" borderId="0" applyFont="0" applyFill="0" applyBorder="0" applyAlignment="0" applyProtection="0"/>
    <xf numFmtId="317" fontId="4" fillId="0" borderId="0" applyFont="0" applyFill="0" applyBorder="0" applyAlignment="0" applyProtection="0"/>
    <xf numFmtId="191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7" fontId="4" fillId="3" borderId="0">
      <alignment horizontal="center"/>
    </xf>
    <xf numFmtId="299" fontId="4" fillId="0" borderId="0"/>
    <xf numFmtId="0" fontId="107" fillId="0" borderId="0" applyFont="0" applyFill="0" applyBorder="0" applyAlignment="0" applyProtection="0">
      <alignment horizontal="right"/>
    </xf>
    <xf numFmtId="328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25" fontId="32" fillId="0" borderId="0" applyFont="0" applyFill="0" applyBorder="0" applyAlignment="0" applyProtection="0"/>
    <xf numFmtId="288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81" fontId="6" fillId="3" borderId="1" applyProtection="0">
      <alignment horizontal="right"/>
    </xf>
    <xf numFmtId="279" fontId="4" fillId="14" borderId="0"/>
    <xf numFmtId="249" fontId="38" fillId="0" borderId="0"/>
    <xf numFmtId="185" fontId="38" fillId="0" borderId="0"/>
    <xf numFmtId="170" fontId="38" fillId="0" borderId="0"/>
    <xf numFmtId="203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21" fontId="4" fillId="0" borderId="0" applyFont="0" applyFill="0" applyBorder="0" applyAlignment="0" applyProtection="0"/>
    <xf numFmtId="0" fontId="56" fillId="0" borderId="0"/>
    <xf numFmtId="1" fontId="38" fillId="0" borderId="0"/>
    <xf numFmtId="183" fontId="148" fillId="0" borderId="0" applyFill="0" applyBorder="0" applyAlignment="0" applyProtection="0"/>
    <xf numFmtId="173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24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8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83" fontId="4" fillId="0" borderId="0" applyFont="0" applyFill="0" applyBorder="0" applyAlignment="0" applyProtection="0">
      <protection locked="0"/>
    </xf>
    <xf numFmtId="228" fontId="24" fillId="0" borderId="0" applyNumberFormat="0" applyFill="0" applyBorder="0" applyAlignment="0" applyProtection="0"/>
    <xf numFmtId="3" fontId="168" fillId="0" borderId="0">
      <alignment horizontal="left"/>
    </xf>
    <xf numFmtId="250" fontId="6" fillId="0" borderId="0" applyFont="0" applyFill="0" applyBorder="0" applyAlignment="0" applyProtection="0"/>
    <xf numFmtId="181" fontId="169" fillId="0" borderId="0"/>
    <xf numFmtId="173" fontId="149" fillId="3" borderId="20">
      <alignment horizontal="right"/>
    </xf>
    <xf numFmtId="321" fontId="4" fillId="0" borderId="0" applyFill="0" applyBorder="0" applyProtection="0">
      <alignment vertical="center"/>
    </xf>
    <xf numFmtId="40" fontId="24" fillId="0" borderId="0">
      <alignment horizontal="left"/>
    </xf>
    <xf numFmtId="183" fontId="35" fillId="0" borderId="0" applyFill="0" applyBorder="0" applyAlignment="0" applyProtection="0"/>
    <xf numFmtId="0" fontId="6" fillId="0" borderId="0"/>
    <xf numFmtId="228" fontId="4" fillId="0" borderId="0"/>
    <xf numFmtId="0" fontId="27" fillId="0" borderId="0" applyFont="0" applyBorder="0" applyAlignment="0"/>
    <xf numFmtId="0" fontId="6" fillId="0" borderId="0"/>
    <xf numFmtId="257" fontId="6" fillId="0" borderId="0" applyFont="0" applyFill="0" applyBorder="0" applyAlignment="0" applyProtection="0"/>
    <xf numFmtId="27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8" fontId="6" fillId="0" borderId="0" applyFont="0" applyFill="0" applyBorder="0" applyAlignment="0" applyProtection="0"/>
    <xf numFmtId="199" fontId="35" fillId="0" borderId="14" applyFont="0" applyFill="0" applyBorder="0" applyAlignment="0" applyProtection="0"/>
    <xf numFmtId="168" fontId="106" fillId="0" borderId="0" applyFont="0" applyFill="0" applyBorder="0" applyAlignment="0" applyProtection="0"/>
    <xf numFmtId="261" fontId="4" fillId="0" borderId="0" applyFill="0" applyBorder="0" applyAlignment="0" applyProtection="0"/>
    <xf numFmtId="254" fontId="6" fillId="0" borderId="0" applyFont="0" applyFill="0" applyBorder="0" applyAlignment="0" applyProtection="0"/>
    <xf numFmtId="17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20" fontId="4" fillId="0" borderId="0" applyBorder="0" applyProtection="0"/>
    <xf numFmtId="0" fontId="66" fillId="0" borderId="45"/>
    <xf numFmtId="0" fontId="6" fillId="0" borderId="0">
      <alignment horizontal="left"/>
    </xf>
    <xf numFmtId="182" fontId="171" fillId="46" borderId="0">
      <alignment horizontal="right"/>
    </xf>
    <xf numFmtId="318" fontId="4" fillId="46" borderId="0">
      <alignment horizontal="right"/>
    </xf>
    <xf numFmtId="183" fontId="171" fillId="47" borderId="0">
      <alignment horizontal="right"/>
    </xf>
    <xf numFmtId="220" fontId="4" fillId="46" borderId="0">
      <alignment horizontal="right"/>
    </xf>
    <xf numFmtId="324" fontId="4" fillId="46" borderId="0">
      <alignment horizontal="right"/>
    </xf>
    <xf numFmtId="263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73" fontId="107" fillId="0" borderId="0" applyNumberFormat="0" applyFill="0" applyBorder="0" applyAlignment="0" applyProtection="0"/>
    <xf numFmtId="181" fontId="158" fillId="0" borderId="0"/>
    <xf numFmtId="37" fontId="4" fillId="0" borderId="0" applyBorder="0">
      <protection locked="0"/>
    </xf>
    <xf numFmtId="307" fontId="4" fillId="0" borderId="0"/>
    <xf numFmtId="269" fontId="4" fillId="0" borderId="0"/>
    <xf numFmtId="308" fontId="4" fillId="0" borderId="0"/>
    <xf numFmtId="270" fontId="4" fillId="0" borderId="0"/>
    <xf numFmtId="307" fontId="4" fillId="0" borderId="0"/>
    <xf numFmtId="269" fontId="4" fillId="0" borderId="0"/>
    <xf numFmtId="10" fontId="38" fillId="0" borderId="14"/>
    <xf numFmtId="10" fontId="38" fillId="0" borderId="14"/>
    <xf numFmtId="308" fontId="4" fillId="0" borderId="0"/>
    <xf numFmtId="270" fontId="4" fillId="0" borderId="0"/>
    <xf numFmtId="165" fontId="35" fillId="0" borderId="0"/>
    <xf numFmtId="0" fontId="4" fillId="0" borderId="0"/>
    <xf numFmtId="227" fontId="35" fillId="0" borderId="0"/>
    <xf numFmtId="307" fontId="4" fillId="0" borderId="0"/>
    <xf numFmtId="269" fontId="4" fillId="0" borderId="0"/>
    <xf numFmtId="320" fontId="4" fillId="0" borderId="0"/>
    <xf numFmtId="272" fontId="4" fillId="0" borderId="0"/>
    <xf numFmtId="181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166" fontId="33" fillId="48" borderId="0" applyNumberFormat="0" applyFont="0" applyBorder="0" applyAlignment="0" applyProtection="0"/>
    <xf numFmtId="203" fontId="6" fillId="0" borderId="0" applyFill="0"/>
    <xf numFmtId="174" fontId="4" fillId="0" borderId="0"/>
    <xf numFmtId="288" fontId="4" fillId="0" borderId="0" applyFill="0" applyBorder="0"/>
    <xf numFmtId="181" fontId="60" fillId="0" borderId="0"/>
    <xf numFmtId="249" fontId="4" fillId="0" borderId="0" applyFont="0" applyFill="0" applyBorder="0" applyAlignment="0" applyProtection="0"/>
    <xf numFmtId="181" fontId="175" fillId="0" borderId="52" applyBorder="0"/>
    <xf numFmtId="181" fontId="176" fillId="0" borderId="0">
      <alignment horizontal="right"/>
    </xf>
    <xf numFmtId="0" fontId="31" fillId="0" borderId="0"/>
    <xf numFmtId="0" fontId="4" fillId="0" borderId="0"/>
    <xf numFmtId="182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8" fontId="84" fillId="3" borderId="20">
      <alignment horizontal="right"/>
    </xf>
    <xf numFmtId="181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74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8" fontId="6" fillId="14" borderId="14" applyFill="0" applyBorder="0" applyAlignment="0" applyProtection="0"/>
    <xf numFmtId="313" fontId="153" fillId="0" borderId="0" applyFont="0" applyFill="0" applyBorder="0" applyAlignment="0" applyProtection="0"/>
    <xf numFmtId="287" fontId="4" fillId="0" borderId="0" applyFont="0" applyFill="0" applyBorder="0" applyAlignment="0" applyProtection="0"/>
    <xf numFmtId="242" fontId="153" fillId="0" borderId="0" applyFill="0" applyBorder="0" applyAlignment="0" applyProtection="0"/>
    <xf numFmtId="181" fontId="15" fillId="0" borderId="8"/>
    <xf numFmtId="281" fontId="6" fillId="0" borderId="0" applyFont="0" applyFill="0" applyBorder="0" applyAlignment="0"/>
    <xf numFmtId="240" fontId="4" fillId="0" borderId="0" applyFont="0" applyFill="0" applyBorder="0" applyAlignment="0" applyProtection="0"/>
    <xf numFmtId="232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204" fontId="153" fillId="0" borderId="0" applyFill="0" applyBorder="0" applyAlignment="0" applyProtection="0"/>
    <xf numFmtId="206" fontId="153" fillId="16" borderId="0" applyFont="0" applyFill="0" applyBorder="0" applyAlignment="0" applyProtection="0"/>
    <xf numFmtId="228" fontId="6" fillId="3" borderId="0" applyFont="0" applyFill="0" applyBorder="0" applyAlignment="0" applyProtection="0"/>
    <xf numFmtId="9" fontId="35" fillId="0" borderId="0"/>
    <xf numFmtId="10" fontId="35" fillId="0" borderId="0"/>
    <xf numFmtId="177" fontId="6" fillId="0" borderId="0" applyFont="0" applyFill="0" applyBorder="0" applyProtection="0">
      <alignment horizontal="right"/>
    </xf>
    <xf numFmtId="319" fontId="4" fillId="49" borderId="0">
      <alignment horizontal="right"/>
    </xf>
    <xf numFmtId="223" fontId="4" fillId="0" borderId="0" applyFont="0" applyFill="0" applyBorder="0" applyProtection="0">
      <alignment horizontal="right"/>
    </xf>
    <xf numFmtId="327" fontId="4" fillId="0" borderId="0" applyFill="0" applyBorder="0" applyAlignment="0" applyProtection="0"/>
    <xf numFmtId="181" fontId="153" fillId="0" borderId="0" applyFill="0" applyBorder="0" applyProtection="0">
      <alignment horizontal="right"/>
    </xf>
    <xf numFmtId="181" fontId="84" fillId="0" borderId="0" applyFill="0" applyBorder="0" applyProtection="0">
      <alignment horizontal="right"/>
    </xf>
    <xf numFmtId="240" fontId="4" fillId="0" borderId="0" applyFont="0" applyFill="0" applyBorder="0" applyAlignment="0" applyProtection="0"/>
    <xf numFmtId="311" fontId="108" fillId="0" borderId="0">
      <alignment horizontal="right"/>
    </xf>
    <xf numFmtId="181" fontId="106" fillId="0" borderId="0"/>
    <xf numFmtId="314" fontId="6" fillId="0" borderId="0"/>
    <xf numFmtId="10" fontId="106" fillId="0" borderId="0">
      <protection locked="0"/>
    </xf>
    <xf numFmtId="261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74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8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32" fontId="178" fillId="0" borderId="0" applyFill="0" applyBorder="0" applyProtection="0"/>
    <xf numFmtId="166" fontId="32" fillId="0" borderId="0" applyFont="0" applyFill="0" applyBorder="0" applyAlignment="0" applyProtection="0"/>
    <xf numFmtId="181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9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15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73" fontId="4" fillId="0" borderId="0" applyFill="0" applyBorder="0" applyAlignment="0"/>
    <xf numFmtId="274" fontId="4" fillId="0" borderId="0" applyFill="0" applyBorder="0" applyAlignment="0"/>
    <xf numFmtId="273" fontId="4" fillId="0" borderId="0" applyFill="0" applyBorder="0" applyAlignment="0"/>
    <xf numFmtId="191" fontId="4" fillId="0" borderId="0" applyFill="0" applyBorder="0" applyAlignment="0"/>
    <xf numFmtId="274" fontId="4" fillId="0" borderId="0" applyFill="0" applyBorder="0" applyAlignment="0"/>
    <xf numFmtId="228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16" fontId="6" fillId="13" borderId="0" applyNumberFormat="0" applyFont="0" applyBorder="0" applyAlignment="0" applyProtection="0">
      <alignment horizontal="center"/>
      <protection locked="0"/>
    </xf>
    <xf numFmtId="203" fontId="14" fillId="0" borderId="0"/>
    <xf numFmtId="271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85" fontId="183" fillId="0" borderId="0">
      <alignment horizontal="right"/>
    </xf>
    <xf numFmtId="0" fontId="184" fillId="0" borderId="0" applyProtection="0"/>
    <xf numFmtId="10" fontId="31" fillId="0" borderId="17"/>
    <xf numFmtId="281" fontId="117" fillId="0" borderId="0"/>
    <xf numFmtId="317" fontId="6" fillId="0" borderId="0" applyFont="0" applyFill="0" applyBorder="0" applyProtection="0">
      <alignment horizontal="right"/>
    </xf>
    <xf numFmtId="293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7" fontId="4" fillId="0" borderId="0">
      <alignment horizontal="right"/>
      <protection locked="0"/>
    </xf>
    <xf numFmtId="263" fontId="6" fillId="0" borderId="0" applyFill="0" applyBorder="0" applyAlignment="0" applyProtection="0"/>
    <xf numFmtId="187" fontId="4" fillId="0" borderId="53" applyNumberFormat="0" applyFont="0" applyFill="0" applyAlignment="0" applyProtection="0"/>
    <xf numFmtId="228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8" fontId="68" fillId="0" borderId="0" applyFont="0" applyFill="0" applyBorder="0" applyAlignment="0" applyProtection="0"/>
    <xf numFmtId="0" fontId="4" fillId="0" borderId="0">
      <alignment horizontal="right"/>
    </xf>
    <xf numFmtId="223" fontId="4" fillId="0" borderId="0" applyProtection="0">
      <alignment horizontal="right"/>
    </xf>
    <xf numFmtId="240" fontId="6" fillId="0" borderId="0" applyProtection="0">
      <alignment horizontal="right"/>
    </xf>
    <xf numFmtId="185" fontId="4" fillId="0" borderId="0" applyProtection="0">
      <alignment horizontal="right"/>
    </xf>
    <xf numFmtId="244" fontId="4" fillId="0" borderId="0" applyProtection="0">
      <alignment horizontal="right"/>
    </xf>
    <xf numFmtId="245" fontId="4" fillId="0" borderId="0" applyProtection="0">
      <alignment horizontal="right"/>
    </xf>
    <xf numFmtId="246" fontId="4" fillId="0" borderId="0" applyProtection="0">
      <alignment horizontal="right"/>
    </xf>
    <xf numFmtId="247" fontId="4" fillId="0" borderId="0" applyProtection="0">
      <alignment horizontal="right"/>
    </xf>
    <xf numFmtId="198" fontId="4" fillId="0" borderId="0" applyProtection="0">
      <alignment horizontal="right"/>
    </xf>
    <xf numFmtId="207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75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8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85" fontId="31" fillId="0" borderId="8">
      <alignment horizontal="right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173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73" fontId="74" fillId="0" borderId="0"/>
    <xf numFmtId="173" fontId="74" fillId="0" borderId="0"/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73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73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73" fontId="213" fillId="0" borderId="0">
      <protection locked="0"/>
    </xf>
    <xf numFmtId="0" fontId="15" fillId="0" borderId="0" applyFill="0" applyBorder="0" applyProtection="0">
      <alignment horizontal="left"/>
    </xf>
    <xf numFmtId="173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9" fontId="6" fillId="0" borderId="0" applyFont="0" applyFill="0" applyBorder="0" applyAlignment="0" applyProtection="0"/>
    <xf numFmtId="289" fontId="6" fillId="0" borderId="0" applyFont="0" applyFill="0" applyBorder="0" applyAlignment="0" applyProtection="0"/>
    <xf numFmtId="173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90" fontId="4" fillId="0" borderId="0">
      <alignment horizontal="center"/>
    </xf>
    <xf numFmtId="14" fontId="44" fillId="16" borderId="0" applyBorder="0" applyAlignment="0" applyProtection="0"/>
    <xf numFmtId="319" fontId="6" fillId="16" borderId="0" applyBorder="0" applyAlignment="0" applyProtection="0"/>
    <xf numFmtId="320" fontId="6" fillId="0" borderId="0">
      <alignment horizontal="center"/>
    </xf>
    <xf numFmtId="167" fontId="218" fillId="0" borderId="0" applyFill="0" applyBorder="0" applyAlignment="0" applyProtection="0"/>
    <xf numFmtId="0" fontId="55" fillId="0" borderId="11" applyNumberFormat="0" applyFill="0" applyAlignment="0" applyProtection="0"/>
    <xf numFmtId="166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200" fontId="35" fillId="0" borderId="0" applyFont="0" applyFill="0" applyBorder="0" applyAlignment="0" applyProtection="0"/>
    <xf numFmtId="173" fontId="221" fillId="0" borderId="0">
      <alignment horizontal="left"/>
    </xf>
    <xf numFmtId="0" fontId="161" fillId="0" borderId="0" applyFont="0">
      <alignment horizontal="centerContinuous"/>
    </xf>
    <xf numFmtId="185" fontId="182" fillId="0" borderId="58">
      <alignment horizontal="right"/>
    </xf>
    <xf numFmtId="249" fontId="38" fillId="0" borderId="8"/>
    <xf numFmtId="185" fontId="38" fillId="0" borderId="8"/>
    <xf numFmtId="170" fontId="38" fillId="0" borderId="8"/>
    <xf numFmtId="0" fontId="222" fillId="0" borderId="30"/>
    <xf numFmtId="0" fontId="35" fillId="0" borderId="0">
      <alignment horizontal="center"/>
    </xf>
    <xf numFmtId="266" fontId="4" fillId="24" borderId="0"/>
    <xf numFmtId="266" fontId="4" fillId="0" borderId="0">
      <protection locked="0"/>
    </xf>
    <xf numFmtId="180" fontId="6" fillId="35" borderId="0" applyNumberFormat="0" applyBorder="0" applyAlignment="0" applyProtection="0"/>
    <xf numFmtId="0" fontId="6" fillId="0" borderId="0"/>
    <xf numFmtId="187" fontId="60" fillId="0" borderId="0" applyFill="0" applyBorder="0" applyProtection="0"/>
    <xf numFmtId="12" fontId="6" fillId="0" borderId="0" applyFont="0" applyFill="0" applyBorder="0" applyProtection="0">
      <alignment horizontal="right"/>
    </xf>
    <xf numFmtId="294" fontId="6" fillId="55" borderId="0" applyFont="0" applyFill="0" applyBorder="0" applyProtection="0">
      <alignment horizontal="right"/>
    </xf>
    <xf numFmtId="228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82" fontId="224" fillId="0" borderId="52" applyBorder="0"/>
    <xf numFmtId="318" fontId="6" fillId="0" borderId="0"/>
    <xf numFmtId="0" fontId="225" fillId="0" borderId="0"/>
    <xf numFmtId="0" fontId="189" fillId="0" borderId="0"/>
    <xf numFmtId="0" fontId="226" fillId="0" borderId="0"/>
    <xf numFmtId="282" fontId="15" fillId="0" borderId="0"/>
    <xf numFmtId="0" fontId="24" fillId="0" borderId="0"/>
    <xf numFmtId="284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9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7" fontId="6" fillId="0" borderId="58">
      <protection locked="0"/>
    </xf>
    <xf numFmtId="228" fontId="4" fillId="0" borderId="0" applyFill="0" applyBorder="0" applyProtection="0"/>
    <xf numFmtId="251" fontId="4" fillId="32" borderId="17">
      <alignment horizontal="center"/>
    </xf>
    <xf numFmtId="251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8" fontId="6" fillId="57" borderId="0" applyNumberFormat="0" applyFont="0" applyBorder="0" applyAlignment="0" applyProtection="0"/>
    <xf numFmtId="0" fontId="6" fillId="0" borderId="0" applyBorder="0" applyProtection="0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9" fontId="4" fillId="0" borderId="0" applyFill="0" applyBorder="0" applyAlignment="0"/>
    <xf numFmtId="209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12" fontId="6" fillId="0" borderId="0" applyFill="0" applyBorder="0" applyAlignment="0" applyProtection="0">
      <alignment horizontal="right"/>
    </xf>
    <xf numFmtId="307" fontId="6" fillId="0" borderId="0" applyFont="0" applyFill="0" applyBorder="0" applyAlignment="0" applyProtection="0"/>
    <xf numFmtId="209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14" fontId="6" fillId="0" borderId="0"/>
    <xf numFmtId="190" fontId="4" fillId="0" borderId="0" applyFont="0" applyFill="0" applyBorder="0" applyAlignment="0" applyProtection="0"/>
    <xf numFmtId="258" fontId="4" fillId="0" borderId="8"/>
    <xf numFmtId="258" fontId="4" fillId="0" borderId="0"/>
    <xf numFmtId="191" fontId="4" fillId="0" borderId="0" applyFont="0" applyFill="0" applyBorder="0" applyAlignment="0" applyProtection="0"/>
    <xf numFmtId="257" fontId="4" fillId="0" borderId="8"/>
    <xf numFmtId="257" fontId="4" fillId="0" borderId="0"/>
    <xf numFmtId="231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9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8" fontId="69" fillId="0" borderId="0" applyFill="0" applyBorder="0" applyAlignment="0" applyProtection="0"/>
    <xf numFmtId="258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8" fontId="4" fillId="0" borderId="0" applyFont="0" applyFill="0" applyBorder="0">
      <alignment horizontal="left"/>
    </xf>
    <xf numFmtId="173" fontId="6" fillId="0" borderId="8" applyNumberFormat="0" applyFont="0" applyFill="0" applyAlignment="0"/>
    <xf numFmtId="318" fontId="6" fillId="0" borderId="60" applyAlignment="0">
      <alignment horizontal="right"/>
    </xf>
    <xf numFmtId="228" fontId="102" fillId="0" borderId="60" applyAlignment="0"/>
    <xf numFmtId="321" fontId="6" fillId="0" borderId="60" applyAlignment="0"/>
    <xf numFmtId="0" fontId="102" fillId="0" borderId="60" applyAlignment="0">
      <alignment horizontal="right"/>
    </xf>
    <xf numFmtId="308" fontId="6" fillId="0" borderId="0" applyFont="0" applyFill="0" applyBorder="0" applyAlignment="0" applyProtection="0"/>
    <xf numFmtId="249" fontId="38" fillId="0" borderId="18"/>
    <xf numFmtId="185" fontId="38" fillId="0" borderId="18"/>
    <xf numFmtId="170" fontId="38" fillId="0" borderId="18"/>
    <xf numFmtId="320" fontId="6" fillId="0" borderId="0" applyFont="0" applyFill="0" applyBorder="0" applyAlignment="0" applyProtection="0"/>
    <xf numFmtId="181" fontId="38" fillId="0" borderId="11" applyNumberFormat="0" applyFont="0" applyFill="0" applyAlignment="0" applyProtection="0"/>
    <xf numFmtId="281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72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169" fontId="180" fillId="0" borderId="0" applyFont="0" applyFill="0" applyBorder="0" applyAlignment="0" applyProtection="0"/>
    <xf numFmtId="0" fontId="56" fillId="0" borderId="0" applyFont="0" applyAlignment="0"/>
    <xf numFmtId="316" fontId="6" fillId="0" borderId="0" applyFont="0" applyFill="0" applyBorder="0" applyAlignment="0" applyProtection="0"/>
    <xf numFmtId="168" fontId="4" fillId="0" borderId="0" applyFont="0" applyFill="0" applyBorder="0" applyAlignment="0" applyProtection="0"/>
    <xf numFmtId="228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92" fontId="6" fillId="0" borderId="0"/>
    <xf numFmtId="205" fontId="35" fillId="0" borderId="0"/>
    <xf numFmtId="272" fontId="35" fillId="0" borderId="0"/>
    <xf numFmtId="0" fontId="6" fillId="0" borderId="11" applyBorder="0" applyProtection="0">
      <alignment horizontal="right"/>
    </xf>
    <xf numFmtId="292" fontId="27" fillId="0" borderId="0" applyFont="0" applyFill="0" applyBorder="0" applyAlignment="0"/>
    <xf numFmtId="228" fontId="27" fillId="0" borderId="0" applyFont="0" applyFill="0" applyBorder="0" applyAlignment="0"/>
    <xf numFmtId="0" fontId="148" fillId="0" borderId="0">
      <alignment horizontal="right"/>
    </xf>
    <xf numFmtId="228" fontId="4" fillId="0" borderId="0"/>
    <xf numFmtId="228" fontId="149" fillId="3" borderId="0"/>
    <xf numFmtId="0" fontId="6" fillId="0" borderId="0" applyFont="0" applyFill="0" applyBorder="0" applyAlignment="0" applyProtection="0"/>
    <xf numFmtId="0" fontId="6" fillId="0" borderId="0"/>
    <xf numFmtId="173" fontId="3" fillId="3" borderId="20"/>
    <xf numFmtId="173" fontId="8" fillId="3" borderId="25"/>
    <xf numFmtId="203" fontId="6" fillId="0" borderId="0" applyFont="0" applyFill="0" applyBorder="0" applyAlignment="0" applyProtection="0"/>
    <xf numFmtId="274" fontId="6" fillId="0" borderId="0" applyFont="0" applyFill="0" applyBorder="0" applyAlignment="0" applyProtection="0"/>
    <xf numFmtId="179" fontId="253" fillId="0" borderId="0" applyFont="0" applyFill="0" applyBorder="0" applyAlignment="0" applyProtection="0"/>
    <xf numFmtId="174" fontId="253" fillId="0" borderId="0" applyFont="0" applyFill="0" applyBorder="0" applyAlignment="0" applyProtection="0"/>
    <xf numFmtId="173" fontId="6" fillId="0" borderId="0"/>
    <xf numFmtId="0" fontId="6" fillId="0" borderId="0"/>
    <xf numFmtId="0" fontId="6" fillId="0" borderId="0"/>
    <xf numFmtId="170" fontId="6" fillId="0" borderId="0" applyFont="0" applyFill="0" applyBorder="0" applyAlignment="0" applyProtection="0"/>
    <xf numFmtId="173" fontId="254" fillId="35" borderId="0"/>
    <xf numFmtId="173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73" fontId="3" fillId="3" borderId="20"/>
    <xf numFmtId="170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70" fontId="6" fillId="0" borderId="0" applyFont="0" applyFill="0" applyBorder="0" applyAlignment="0" applyProtection="0"/>
    <xf numFmtId="173" fontId="3" fillId="3" borderId="20"/>
    <xf numFmtId="173" fontId="3" fillId="3" borderId="20"/>
    <xf numFmtId="17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73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221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170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21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21" fontId="270" fillId="0" borderId="66">
      <alignment horizontal="left"/>
    </xf>
    <xf numFmtId="221" fontId="277" fillId="0" borderId="0">
      <alignment horizontal="center"/>
    </xf>
    <xf numFmtId="221" fontId="282" fillId="0" borderId="66">
      <alignment horizontal="center"/>
    </xf>
    <xf numFmtId="221" fontId="5" fillId="0" borderId="0"/>
    <xf numFmtId="221" fontId="283" fillId="0" borderId="0"/>
    <xf numFmtId="221" fontId="6" fillId="0" borderId="0"/>
    <xf numFmtId="221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8" fontId="178" fillId="0" borderId="0" applyFill="0" applyBorder="0" applyProtection="0"/>
    <xf numFmtId="228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73" fontId="6" fillId="0" borderId="0" applyFont="0" applyFill="0" applyBorder="0" applyAlignment="0" applyProtection="0"/>
    <xf numFmtId="197" fontId="60" fillId="0" borderId="0" applyFont="0" applyFill="0" applyBorder="0" applyAlignment="0" applyProtection="0"/>
    <xf numFmtId="197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332" fontId="35" fillId="0" borderId="0" applyFont="0" applyFill="0" applyBorder="0" applyAlignment="0" applyProtection="0"/>
    <xf numFmtId="333" fontId="60" fillId="0" borderId="0" applyFont="0" applyFill="0" applyBorder="0" applyAlignment="0" applyProtection="0"/>
    <xf numFmtId="333" fontId="6" fillId="0" borderId="0" applyFont="0" applyFill="0" applyBorder="0" applyAlignment="0" applyProtection="0"/>
    <xf numFmtId="33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0" fillId="0" borderId="0" applyFont="0" applyFill="0" applyBorder="0" applyAlignment="0" applyProtection="0"/>
    <xf numFmtId="335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35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6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337" fontId="45" fillId="0" borderId="0"/>
    <xf numFmtId="337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7" fontId="45" fillId="0" borderId="0"/>
    <xf numFmtId="337" fontId="45" fillId="0" borderId="0"/>
    <xf numFmtId="0" fontId="60" fillId="0" borderId="0"/>
    <xf numFmtId="0" fontId="6" fillId="0" borderId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8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339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62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40" fontId="35" fillId="0" borderId="0" applyFont="0" applyFill="0" applyBorder="0" applyAlignment="0" applyProtection="0"/>
    <xf numFmtId="208" fontId="60" fillId="0" borderId="0" applyFont="0" applyFill="0" applyBorder="0" applyAlignment="0" applyProtection="0"/>
    <xf numFmtId="208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30" fontId="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07" fontId="6" fillId="0" borderId="0" applyFont="0" applyFill="0" applyBorder="0" applyAlignment="0" applyProtection="0"/>
    <xf numFmtId="344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12" fontId="60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212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83" fontId="5" fillId="0" borderId="0" applyFont="0" applyFill="0" applyBorder="0" applyAlignment="0" applyProtection="0"/>
    <xf numFmtId="345" fontId="35" fillId="0" borderId="0" applyFont="0" applyFill="0" applyBorder="0" applyAlignment="0" applyProtection="0"/>
    <xf numFmtId="346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347" fontId="35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8" fontId="35" fillId="0" borderId="0" applyFont="0" applyFill="0" applyBorder="0" applyAlignment="0" applyProtection="0"/>
    <xf numFmtId="349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350" fontId="35" fillId="0" borderId="0" applyFont="0" applyFill="0" applyBorder="0" applyAlignment="0" applyProtection="0"/>
    <xf numFmtId="21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9" fontId="5" fillId="0" borderId="0" applyFont="0" applyFill="0" applyBorder="0" applyAlignment="0" applyProtection="0"/>
    <xf numFmtId="351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52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49" fontId="35" fillId="0" borderId="0" applyFont="0" applyFill="0" applyBorder="0" applyAlignment="0" applyProtection="0"/>
    <xf numFmtId="220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62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62" fontId="50" fillId="0" borderId="28" applyNumberFormat="0" applyFill="0" applyAlignment="0" applyProtection="0"/>
    <xf numFmtId="0" fontId="50" fillId="0" borderId="75" applyNumberFormat="0" applyFill="0" applyAlignment="0" applyProtection="0"/>
    <xf numFmtId="262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62" fontId="50" fillId="0" borderId="28" applyNumberFormat="0" applyFill="0" applyAlignment="0" applyProtection="0"/>
    <xf numFmtId="0" fontId="50" fillId="0" borderId="28" applyNumberFormat="0" applyFill="0" applyAlignment="0" applyProtection="0"/>
    <xf numFmtId="173" fontId="50" fillId="0" borderId="75" applyNumberFormat="0" applyFill="0" applyAlignment="0" applyProtection="0"/>
    <xf numFmtId="173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262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262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262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7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74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9" fontId="6" fillId="0" borderId="0" applyFont="0" applyFill="0" applyBorder="0" applyProtection="0"/>
    <xf numFmtId="353" fontId="60" fillId="0" borderId="0" applyFont="0" applyFill="0" applyBorder="0" applyAlignment="0">
      <alignment vertical="center"/>
    </xf>
    <xf numFmtId="182" fontId="304" fillId="94" borderId="0" applyNumberFormat="0" applyFont="0" applyBorder="0" applyAlignment="0">
      <alignment horizontal="right"/>
    </xf>
    <xf numFmtId="354" fontId="88" fillId="94" borderId="2" applyFont="0">
      <alignment horizontal="right"/>
    </xf>
    <xf numFmtId="0" fontId="4" fillId="0" borderId="0" applyNumberFormat="0" applyFill="0" applyBorder="0" applyAlignment="0" applyProtection="0"/>
    <xf numFmtId="355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56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165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52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7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14" fillId="0" borderId="0" applyFont="0" applyFill="0" applyBorder="0" applyAlignment="0" applyProtection="0"/>
    <xf numFmtId="171" fontId="35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15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5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15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1" fillId="0" borderId="0" applyFont="0" applyFill="0" applyBorder="0" applyAlignment="0" applyProtection="0"/>
    <xf numFmtId="171" fontId="302" fillId="0" borderId="0" applyFont="0" applyFill="0" applyBorder="0" applyAlignment="0" applyProtection="0"/>
    <xf numFmtId="358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9" fontId="38" fillId="13" borderId="0">
      <protection hidden="1"/>
    </xf>
    <xf numFmtId="299" fontId="6" fillId="0" borderId="80" applyFont="0" applyFill="0" applyBorder="0" applyAlignment="0" applyProtection="0"/>
    <xf numFmtId="219" fontId="6" fillId="0" borderId="0" applyFont="0" applyFill="0" applyBorder="0" applyAlignment="0" applyProtection="0"/>
    <xf numFmtId="360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61" fontId="6" fillId="0" borderId="30"/>
    <xf numFmtId="182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62" fontId="60" fillId="0" borderId="0"/>
    <xf numFmtId="3" fontId="318" fillId="0" borderId="81"/>
    <xf numFmtId="0" fontId="56" fillId="0" borderId="0" applyFont="0" applyFill="0" applyBorder="0" applyAlignment="0" applyProtection="0"/>
    <xf numFmtId="363" fontId="6" fillId="0" borderId="0" applyFont="0" applyFill="0" applyBorder="0" applyAlignment="0" applyProtection="0"/>
    <xf numFmtId="364" fontId="6" fillId="0" borderId="0" applyFont="0" applyFill="0" applyBorder="0" applyAlignment="0" applyProtection="0"/>
    <xf numFmtId="0" fontId="294" fillId="0" borderId="0"/>
    <xf numFmtId="366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168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170" fontId="294" fillId="0" borderId="0" applyFont="0" applyFill="0" applyBorder="0" applyAlignment="0" applyProtection="0"/>
    <xf numFmtId="173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73" fontId="325" fillId="0" borderId="0" applyFill="0" applyBorder="0" applyAlignment="0" applyProtection="0"/>
    <xf numFmtId="0" fontId="326" fillId="101" borderId="0" applyProtection="0">
      <alignment vertical="center"/>
    </xf>
    <xf numFmtId="173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168" fontId="60" fillId="3" borderId="95"/>
    <xf numFmtId="241" fontId="4" fillId="3" borderId="95"/>
    <xf numFmtId="181" fontId="60" fillId="3" borderId="95"/>
    <xf numFmtId="248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65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9" fontId="37" fillId="0" borderId="82"/>
    <xf numFmtId="170" fontId="37" fillId="0" borderId="82"/>
    <xf numFmtId="168" fontId="15" fillId="0" borderId="82"/>
    <xf numFmtId="185" fontId="15" fillId="0" borderId="82"/>
    <xf numFmtId="181" fontId="4" fillId="0" borderId="82"/>
    <xf numFmtId="228" fontId="4" fillId="0" borderId="82"/>
    <xf numFmtId="196" fontId="4" fillId="0" borderId="82"/>
    <xf numFmtId="169" fontId="15" fillId="0" borderId="82"/>
    <xf numFmtId="165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81" fontId="6" fillId="3" borderId="93" applyProtection="0">
      <alignment horizontal="right"/>
    </xf>
    <xf numFmtId="173" fontId="149" fillId="3" borderId="94">
      <alignment horizontal="right"/>
    </xf>
    <xf numFmtId="173" fontId="149" fillId="3" borderId="94">
      <alignment horizontal="right"/>
    </xf>
    <xf numFmtId="199" fontId="35" fillId="0" borderId="69" applyFont="0" applyFill="0" applyBorder="0" applyAlignment="0" applyProtection="0"/>
    <xf numFmtId="10" fontId="38" fillId="0" borderId="69"/>
    <xf numFmtId="10" fontId="38" fillId="0" borderId="69"/>
    <xf numFmtId="318" fontId="84" fillId="3" borderId="94">
      <alignment horizontal="right"/>
    </xf>
    <xf numFmtId="9" fontId="15" fillId="0" borderId="82"/>
    <xf numFmtId="188" fontId="6" fillId="14" borderId="69" applyFill="0" applyBorder="0" applyAlignment="0" applyProtection="0"/>
    <xf numFmtId="181" fontId="15" fillId="0" borderId="82"/>
    <xf numFmtId="10" fontId="15" fillId="0" borderId="82"/>
    <xf numFmtId="318" fontId="84" fillId="3" borderId="94">
      <alignment horizontal="right"/>
    </xf>
    <xf numFmtId="0" fontId="4" fillId="0" borderId="82"/>
    <xf numFmtId="185" fontId="31" fillId="0" borderId="82">
      <alignment horizontal="right"/>
    </xf>
    <xf numFmtId="249" fontId="38" fillId="0" borderId="82"/>
    <xf numFmtId="185" fontId="38" fillId="0" borderId="82"/>
    <xf numFmtId="170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8" fontId="4" fillId="0" borderId="82"/>
    <xf numFmtId="257" fontId="4" fillId="0" borderId="82"/>
    <xf numFmtId="173" fontId="6" fillId="0" borderId="82" applyNumberFormat="0" applyFont="0" applyFill="0" applyAlignment="0"/>
    <xf numFmtId="0" fontId="35" fillId="0" borderId="82" applyProtection="0">
      <alignment vertical="top"/>
    </xf>
    <xf numFmtId="173" fontId="3" fillId="3" borderId="94"/>
    <xf numFmtId="173" fontId="8" fillId="3" borderId="95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173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62" fontId="50" fillId="0" borderId="96" applyNumberFormat="0" applyFill="0" applyAlignment="0" applyProtection="0"/>
    <xf numFmtId="262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62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  <xf numFmtId="0" fontId="342" fillId="80" borderId="0" applyNumberFormat="0" applyBorder="0" applyAlignment="0" applyProtection="0"/>
  </cellStyleXfs>
  <cellXfs count="432">
    <xf numFmtId="0" fontId="0" fillId="0" borderId="0" xfId="0"/>
    <xf numFmtId="4" fontId="0" fillId="0" borderId="0" xfId="0" applyNumberFormat="1"/>
    <xf numFmtId="173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73" fontId="14" fillId="0" borderId="0" xfId="0" applyNumberFormat="1" applyFont="1"/>
    <xf numFmtId="174" fontId="9" fillId="0" borderId="0" xfId="0" applyNumberFormat="1" applyFont="1" applyAlignment="1">
      <alignment horizontal="right"/>
    </xf>
    <xf numFmtId="0" fontId="14" fillId="0" borderId="0" xfId="0" applyFont="1"/>
    <xf numFmtId="173" fontId="8" fillId="0" borderId="0" xfId="0" applyNumberFormat="1" applyFont="1" applyFill="1" applyAlignment="1">
      <alignment horizontal="left"/>
    </xf>
    <xf numFmtId="15" fontId="8" fillId="0" borderId="0" xfId="0" applyNumberFormat="1" applyFont="1" applyFill="1" applyAlignment="1">
      <alignment horizontal="left"/>
    </xf>
    <xf numFmtId="173" fontId="8" fillId="0" borderId="0" xfId="0" applyNumberFormat="1" applyFont="1" applyFill="1"/>
    <xf numFmtId="174" fontId="14" fillId="0" borderId="0" xfId="0" applyNumberFormat="1" applyFont="1"/>
    <xf numFmtId="173" fontId="14" fillId="0" borderId="0" xfId="0" applyNumberFormat="1" applyFont="1" applyAlignment="1">
      <alignment horizontal="right"/>
    </xf>
    <xf numFmtId="176" fontId="14" fillId="0" borderId="0" xfId="0" applyNumberFormat="1" applyFont="1" applyAlignment="1">
      <alignment horizontal="right"/>
    </xf>
    <xf numFmtId="173" fontId="9" fillId="0" borderId="0" xfId="0" applyNumberFormat="1" applyFont="1"/>
    <xf numFmtId="173" fontId="14" fillId="0" borderId="0" xfId="0" applyNumberFormat="1" applyFont="1" applyAlignment="1"/>
    <xf numFmtId="4" fontId="0" fillId="0" borderId="15" xfId="0" applyNumberFormat="1" applyBorder="1"/>
    <xf numFmtId="173" fontId="22" fillId="7" borderId="4" xfId="0" applyNumberFormat="1" applyFont="1" applyFill="1" applyBorder="1" applyAlignment="1">
      <alignment horizontal="left"/>
    </xf>
    <xf numFmtId="173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73" fontId="8" fillId="7" borderId="2" xfId="0" applyNumberFormat="1" applyFont="1" applyFill="1" applyBorder="1"/>
    <xf numFmtId="173" fontId="14" fillId="7" borderId="2" xfId="0" applyNumberFormat="1" applyFont="1" applyFill="1" applyBorder="1"/>
    <xf numFmtId="174" fontId="14" fillId="7" borderId="2" xfId="0" applyNumberFormat="1" applyFont="1" applyFill="1" applyBorder="1"/>
    <xf numFmtId="173" fontId="14" fillId="7" borderId="5" xfId="0" applyNumberFormat="1" applyFont="1" applyFill="1" applyBorder="1"/>
    <xf numFmtId="173" fontId="25" fillId="0" borderId="0" xfId="0" applyNumberFormat="1" applyFont="1"/>
    <xf numFmtId="0" fontId="21" fillId="0" borderId="2" xfId="0" applyFont="1" applyBorder="1"/>
    <xf numFmtId="173" fontId="2" fillId="7" borderId="2" xfId="0" applyNumberFormat="1" applyFont="1" applyFill="1" applyBorder="1" applyAlignment="1"/>
    <xf numFmtId="173" fontId="0" fillId="0" borderId="0" xfId="0" applyNumberFormat="1" applyFont="1"/>
    <xf numFmtId="0" fontId="0" fillId="0" borderId="0" xfId="0"/>
    <xf numFmtId="0" fontId="21" fillId="0" borderId="0" xfId="0" applyFont="1"/>
    <xf numFmtId="174" fontId="0" fillId="8" borderId="13" xfId="0" applyNumberFormat="1" applyFill="1" applyBorder="1"/>
    <xf numFmtId="0" fontId="6" fillId="0" borderId="0" xfId="1686" applyFont="1"/>
    <xf numFmtId="0" fontId="21" fillId="8" borderId="13" xfId="0" applyFont="1" applyFill="1" applyBorder="1" applyAlignment="1">
      <alignment horizontal="center"/>
    </xf>
    <xf numFmtId="173" fontId="14" fillId="0" borderId="0" xfId="0" applyNumberFormat="1" applyFont="1" applyAlignment="1">
      <alignment horizontal="left"/>
    </xf>
    <xf numFmtId="0" fontId="259" fillId="0" borderId="0" xfId="0" applyFont="1"/>
    <xf numFmtId="173" fontId="258" fillId="0" borderId="0" xfId="0" applyNumberFormat="1" applyFont="1"/>
    <xf numFmtId="173" fontId="6" fillId="0" borderId="2" xfId="0" applyNumberFormat="1" applyFont="1" applyBorder="1"/>
    <xf numFmtId="173" fontId="6" fillId="0" borderId="2" xfId="0" applyNumberFormat="1" applyFont="1" applyFill="1" applyBorder="1"/>
    <xf numFmtId="0" fontId="258" fillId="0" borderId="0" xfId="0" applyFont="1"/>
    <xf numFmtId="0" fontId="25" fillId="0" borderId="0" xfId="0" applyFont="1" applyBorder="1"/>
    <xf numFmtId="0" fontId="261" fillId="60" borderId="65" xfId="0" applyFont="1" applyFill="1" applyBorder="1"/>
    <xf numFmtId="176" fontId="261" fillId="60" borderId="65" xfId="0" applyNumberFormat="1" applyFont="1" applyFill="1" applyBorder="1" applyAlignment="1">
      <alignment horizontal="right"/>
    </xf>
    <xf numFmtId="0" fontId="261" fillId="0" borderId="0" xfId="0" applyNumberFormat="1" applyFont="1"/>
    <xf numFmtId="0" fontId="262" fillId="0" borderId="0" xfId="0" applyNumberFormat="1" applyFont="1" applyAlignment="1">
      <alignment horizontal="left" indent="1"/>
    </xf>
    <xf numFmtId="173" fontId="261" fillId="0" borderId="0" xfId="0" applyNumberFormat="1" applyFont="1"/>
    <xf numFmtId="0" fontId="0" fillId="0" borderId="0" xfId="0" applyNumberFormat="1" applyFill="1"/>
    <xf numFmtId="0" fontId="0" fillId="0" borderId="0" xfId="0"/>
    <xf numFmtId="0" fontId="0" fillId="0" borderId="11" xfId="0" applyBorder="1"/>
    <xf numFmtId="0" fontId="263" fillId="61" borderId="0" xfId="0" applyFont="1" applyFill="1" applyBorder="1" applyAlignment="1">
      <alignment horizontal="left"/>
    </xf>
    <xf numFmtId="0" fontId="261" fillId="60" borderId="65" xfId="0" applyFont="1" applyFill="1" applyBorder="1"/>
    <xf numFmtId="175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NumberFormat="1" applyFont="1" applyBorder="1"/>
    <xf numFmtId="0" fontId="263" fillId="62" borderId="0" xfId="0" applyFont="1" applyFill="1" applyBorder="1"/>
    <xf numFmtId="173" fontId="263" fillId="62" borderId="0" xfId="0" applyNumberFormat="1" applyFont="1" applyFill="1" applyBorder="1" applyAlignment="1"/>
    <xf numFmtId="173" fontId="263" fillId="62" borderId="0" xfId="0" applyNumberFormat="1" applyFont="1" applyFill="1" applyBorder="1"/>
    <xf numFmtId="173" fontId="21" fillId="0" borderId="2" xfId="0" applyNumberFormat="1" applyFont="1" applyBorder="1"/>
    <xf numFmtId="0" fontId="21" fillId="8" borderId="0" xfId="0" applyFont="1" applyFill="1" applyBorder="1" applyAlignment="1">
      <alignment horizontal="center"/>
    </xf>
    <xf numFmtId="0" fontId="21" fillId="8" borderId="14" xfId="0" applyFont="1" applyFill="1" applyBorder="1" applyAlignment="1">
      <alignment horizontal="center"/>
    </xf>
    <xf numFmtId="0" fontId="0" fillId="0" borderId="0" xfId="0" applyBorder="1"/>
    <xf numFmtId="174" fontId="16" fillId="0" borderId="1" xfId="0" applyNumberFormat="1" applyFont="1" applyFill="1" applyBorder="1"/>
    <xf numFmtId="174" fontId="0" fillId="0" borderId="0" xfId="0" applyNumberFormat="1"/>
    <xf numFmtId="0" fontId="14" fillId="0" borderId="0" xfId="0" applyFont="1" applyAlignment="1"/>
    <xf numFmtId="0" fontId="251" fillId="0" borderId="0" xfId="0" applyFont="1"/>
    <xf numFmtId="0" fontId="251" fillId="0" borderId="0" xfId="0" applyFont="1" applyBorder="1"/>
    <xf numFmtId="174" fontId="251" fillId="0" borderId="0" xfId="0" applyNumberFormat="1" applyFont="1" applyBorder="1"/>
    <xf numFmtId="0" fontId="0" fillId="0" borderId="2" xfId="0" applyBorder="1"/>
    <xf numFmtId="0" fontId="0" fillId="0" borderId="8" xfId="0" applyBorder="1"/>
    <xf numFmtId="174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 applyBorder="1"/>
    <xf numFmtId="10" fontId="0" fillId="8" borderId="14" xfId="0" applyNumberFormat="1" applyFill="1" applyBorder="1"/>
    <xf numFmtId="37" fontId="0" fillId="0" borderId="7" xfId="0" applyNumberFormat="1" applyFill="1" applyBorder="1"/>
    <xf numFmtId="37" fontId="0" fillId="0" borderId="8" xfId="0" applyNumberFormat="1" applyFill="1" applyBorder="1"/>
    <xf numFmtId="37" fontId="0" fillId="0" borderId="9" xfId="0" applyNumberFormat="1" applyFill="1" applyBorder="1"/>
    <xf numFmtId="37" fontId="0" fillId="0" borderId="13" xfId="0" applyNumberFormat="1" applyFill="1" applyBorder="1"/>
    <xf numFmtId="37" fontId="0" fillId="8" borderId="0" xfId="0" applyNumberFormat="1" applyFill="1" applyBorder="1"/>
    <xf numFmtId="37" fontId="0" fillId="0" borderId="0" xfId="0" applyNumberFormat="1" applyFill="1" applyBorder="1"/>
    <xf numFmtId="37" fontId="0" fillId="0" borderId="14" xfId="0" applyNumberFormat="1" applyFill="1" applyBorder="1"/>
    <xf numFmtId="37" fontId="0" fillId="0" borderId="10" xfId="0" applyNumberFormat="1" applyFill="1" applyBorder="1"/>
    <xf numFmtId="37" fontId="0" fillId="0" borderId="11" xfId="0" applyNumberFormat="1" applyFill="1" applyBorder="1"/>
    <xf numFmtId="37" fontId="0" fillId="0" borderId="12" xfId="0" applyNumberFormat="1" applyFill="1" applyBorder="1"/>
    <xf numFmtId="0" fontId="261" fillId="60" borderId="0" xfId="0" applyFont="1" applyFill="1" applyBorder="1"/>
    <xf numFmtId="0" fontId="261" fillId="60" borderId="65" xfId="0" applyFont="1" applyFill="1" applyBorder="1" applyAlignment="1"/>
    <xf numFmtId="0" fontId="0" fillId="0" borderId="69" xfId="0" applyBorder="1"/>
    <xf numFmtId="174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 applyBorder="1"/>
    <xf numFmtId="173" fontId="261" fillId="60" borderId="0" xfId="0" applyNumberFormat="1" applyFont="1" applyFill="1" applyBorder="1"/>
    <xf numFmtId="173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left"/>
    </xf>
    <xf numFmtId="173" fontId="261" fillId="0" borderId="0" xfId="0" applyNumberFormat="1" applyFont="1" applyAlignment="1"/>
    <xf numFmtId="173" fontId="261" fillId="0" borderId="0" xfId="0" applyNumberFormat="1" applyFont="1" applyAlignment="1">
      <alignment horizontal="right"/>
    </xf>
    <xf numFmtId="0" fontId="6" fillId="0" borderId="0" xfId="1686" applyNumberFormat="1" applyFont="1"/>
    <xf numFmtId="174" fontId="21" fillId="0" borderId="0" xfId="0" applyNumberFormat="1" applyFont="1" applyBorder="1"/>
    <xf numFmtId="0" fontId="0" fillId="0" borderId="0" xfId="0" applyFont="1" applyBorder="1"/>
    <xf numFmtId="0" fontId="0" fillId="0" borderId="8" xfId="0" applyFont="1" applyBorder="1"/>
    <xf numFmtId="173" fontId="0" fillId="0" borderId="8" xfId="0" applyNumberFormat="1" applyFont="1" applyBorder="1"/>
    <xf numFmtId="174" fontId="21" fillId="0" borderId="8" xfId="0" applyNumberFormat="1" applyFont="1" applyBorder="1"/>
    <xf numFmtId="0" fontId="251" fillId="0" borderId="11" xfId="0" applyFont="1" applyBorder="1"/>
    <xf numFmtId="181" fontId="251" fillId="0" borderId="11" xfId="2309" applyNumberFormat="1" applyFont="1" applyBorder="1"/>
    <xf numFmtId="174" fontId="21" fillId="0" borderId="11" xfId="0" applyNumberFormat="1" applyFont="1" applyBorder="1"/>
    <xf numFmtId="0" fontId="263" fillId="65" borderId="0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73" fontId="263" fillId="7" borderId="8" xfId="0" applyNumberFormat="1" applyFont="1" applyFill="1" applyBorder="1" applyAlignment="1">
      <alignment horizontal="left"/>
    </xf>
    <xf numFmtId="173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73" fontId="22" fillId="7" borderId="8" xfId="0" applyNumberFormat="1" applyFont="1" applyFill="1" applyBorder="1" applyAlignment="1">
      <alignment horizontal="left"/>
    </xf>
    <xf numFmtId="0" fontId="6" fillId="0" borderId="0" xfId="0" applyNumberFormat="1" applyFont="1"/>
    <xf numFmtId="0" fontId="16" fillId="0" borderId="0" xfId="0" applyNumberFormat="1" applyFont="1"/>
    <xf numFmtId="0" fontId="9" fillId="0" borderId="0" xfId="0" applyFont="1" applyFill="1" applyBorder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NumberFormat="1" applyFont="1" applyBorder="1"/>
    <xf numFmtId="0" fontId="6" fillId="0" borderId="11" xfId="0" applyFont="1" applyBorder="1"/>
    <xf numFmtId="0" fontId="261" fillId="60" borderId="0" xfId="0" applyNumberFormat="1" applyFont="1" applyFill="1" applyBorder="1"/>
    <xf numFmtId="175" fontId="261" fillId="60" borderId="0" xfId="0" applyNumberFormat="1" applyFont="1" applyFill="1" applyBorder="1" applyAlignment="1">
      <alignment horizontal="right"/>
    </xf>
    <xf numFmtId="175" fontId="261" fillId="60" borderId="0" xfId="0" applyNumberFormat="1" applyFont="1" applyFill="1" applyBorder="1"/>
    <xf numFmtId="0" fontId="263" fillId="65" borderId="0" xfId="0" applyNumberFormat="1" applyFont="1" applyFill="1" applyBorder="1"/>
    <xf numFmtId="0" fontId="263" fillId="65" borderId="0" xfId="0" applyFont="1" applyFill="1" applyBorder="1"/>
    <xf numFmtId="175" fontId="263" fillId="65" borderId="0" xfId="0" applyNumberFormat="1" applyFont="1" applyFill="1" applyBorder="1" applyAlignment="1">
      <alignment horizontal="right"/>
    </xf>
    <xf numFmtId="0" fontId="262" fillId="0" borderId="0" xfId="0" applyNumberFormat="1" applyFont="1" applyBorder="1" applyAlignment="1">
      <alignment horizontal="left" indent="1"/>
    </xf>
    <xf numFmtId="0" fontId="14" fillId="0" borderId="0" xfId="0" applyFont="1" applyBorder="1"/>
    <xf numFmtId="174" fontId="262" fillId="0" borderId="0" xfId="0" applyNumberFormat="1" applyFont="1" applyBorder="1" applyAlignment="1">
      <alignment horizontal="right"/>
    </xf>
    <xf numFmtId="173" fontId="261" fillId="0" borderId="2" xfId="0" applyNumberFormat="1" applyFont="1" applyFill="1" applyBorder="1"/>
    <xf numFmtId="0" fontId="261" fillId="0" borderId="0" xfId="0" applyFont="1"/>
    <xf numFmtId="0" fontId="0" fillId="0" borderId="0" xfId="0"/>
    <xf numFmtId="0" fontId="265" fillId="0" borderId="0" xfId="0" applyFont="1"/>
    <xf numFmtId="0" fontId="261" fillId="0" borderId="0" xfId="1686" applyFont="1"/>
    <xf numFmtId="0" fontId="261" fillId="0" borderId="0" xfId="1686" applyFont="1"/>
    <xf numFmtId="0" fontId="262" fillId="0" borderId="0" xfId="0" quotePrefix="1" applyNumberFormat="1" applyFont="1" applyAlignment="1">
      <alignment horizontal="left" indent="1"/>
    </xf>
    <xf numFmtId="0" fontId="296" fillId="0" borderId="0" xfId="0" applyFont="1" applyBorder="1" applyAlignment="1">
      <alignment horizontal="right"/>
    </xf>
    <xf numFmtId="173" fontId="16" fillId="0" borderId="2" xfId="0" applyNumberFormat="1" applyFont="1" applyFill="1" applyBorder="1"/>
    <xf numFmtId="10" fontId="14" fillId="0" borderId="0" xfId="0" applyNumberFormat="1" applyFont="1"/>
    <xf numFmtId="174" fontId="262" fillId="0" borderId="0" xfId="0" applyNumberFormat="1" applyFont="1" applyAlignment="1">
      <alignment horizontal="right"/>
    </xf>
    <xf numFmtId="173" fontId="6" fillId="0" borderId="0" xfId="0" applyNumberFormat="1" applyFont="1" applyBorder="1"/>
    <xf numFmtId="173" fontId="6" fillId="0" borderId="0" xfId="0" applyNumberFormat="1" applyFont="1" applyFill="1" applyBorder="1"/>
    <xf numFmtId="173" fontId="9" fillId="0" borderId="0" xfId="0" applyNumberFormat="1" applyFont="1" applyBorder="1"/>
    <xf numFmtId="173" fontId="297" fillId="0" borderId="2" xfId="0" applyNumberFormat="1" applyFont="1" applyFill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Fill="1" applyBorder="1" applyAlignment="1">
      <alignment horizontal="right"/>
    </xf>
    <xf numFmtId="181" fontId="299" fillId="0" borderId="0" xfId="2309" applyNumberFormat="1" applyFont="1" applyFill="1" applyBorder="1"/>
    <xf numFmtId="329" fontId="16" fillId="0" borderId="6" xfId="0" applyNumberFormat="1" applyFont="1" applyFill="1" applyBorder="1"/>
    <xf numFmtId="197" fontId="261" fillId="0" borderId="0" xfId="0" applyNumberFormat="1" applyFont="1"/>
    <xf numFmtId="197" fontId="261" fillId="0" borderId="0" xfId="0" applyNumberFormat="1" applyFont="1" applyFill="1" applyBorder="1" applyAlignment="1">
      <alignment horizontal="right"/>
    </xf>
    <xf numFmtId="197" fontId="261" fillId="0" borderId="0" xfId="0" applyNumberFormat="1" applyFont="1" applyFill="1" applyBorder="1" applyAlignment="1"/>
    <xf numFmtId="197" fontId="261" fillId="0" borderId="0" xfId="0" applyNumberFormat="1" applyFont="1" applyFill="1" applyBorder="1"/>
    <xf numFmtId="329" fontId="262" fillId="0" borderId="0" xfId="0" applyNumberFormat="1" applyFont="1" applyFill="1" applyBorder="1" applyAlignment="1">
      <alignment horizontal="right"/>
    </xf>
    <xf numFmtId="329" fontId="9" fillId="0" borderId="0" xfId="0" applyNumberFormat="1" applyFont="1" applyAlignment="1">
      <alignment horizontal="right"/>
    </xf>
    <xf numFmtId="329" fontId="298" fillId="3" borderId="1" xfId="2311" applyNumberFormat="1" applyFont="1" applyFill="1" applyBorder="1"/>
    <xf numFmtId="173" fontId="261" fillId="0" borderId="0" xfId="0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73" fontId="8" fillId="80" borderId="6" xfId="0" applyNumberFormat="1" applyFont="1" applyFill="1" applyBorder="1" applyAlignment="1">
      <alignment horizontal="right"/>
    </xf>
    <xf numFmtId="256" fontId="6" fillId="0" borderId="0" xfId="1686" applyNumberFormat="1" applyFont="1"/>
    <xf numFmtId="256" fontId="261" fillId="0" borderId="8" xfId="0" applyNumberFormat="1" applyFont="1" applyBorder="1"/>
    <xf numFmtId="197" fontId="261" fillId="0" borderId="11" xfId="0" applyNumberFormat="1" applyFont="1" applyBorder="1"/>
    <xf numFmtId="330" fontId="0" fillId="0" borderId="0" xfId="0" applyNumberFormat="1"/>
    <xf numFmtId="0" fontId="0" fillId="0" borderId="0" xfId="0" applyFont="1"/>
    <xf numFmtId="0" fontId="261" fillId="60" borderId="65" xfId="0" applyFont="1" applyFill="1" applyBorder="1" applyAlignment="1">
      <alignment horizontal="right"/>
    </xf>
    <xf numFmtId="181" fontId="0" fillId="8" borderId="13" xfId="0" applyNumberFormat="1" applyFill="1" applyBorder="1"/>
    <xf numFmtId="181" fontId="0" fillId="8" borderId="10" xfId="0" applyNumberFormat="1" applyFill="1" applyBorder="1"/>
    <xf numFmtId="173" fontId="297" fillId="0" borderId="0" xfId="0" applyNumberFormat="1" applyFont="1" applyFill="1" applyBorder="1"/>
    <xf numFmtId="0" fontId="0" fillId="0" borderId="69" xfId="0" applyFont="1" applyBorder="1"/>
    <xf numFmtId="173" fontId="0" fillId="0" borderId="0" xfId="0" applyNumberFormat="1" applyFont="1" applyFill="1" applyBorder="1"/>
    <xf numFmtId="0" fontId="0" fillId="0" borderId="2" xfId="0" applyFont="1" applyBorder="1"/>
    <xf numFmtId="173" fontId="0" fillId="0" borderId="2" xfId="0" applyNumberFormat="1" applyFont="1" applyFill="1" applyBorder="1"/>
    <xf numFmtId="173" fontId="0" fillId="0" borderId="70" xfId="0" applyNumberFormat="1" applyFont="1" applyFill="1" applyBorder="1"/>
    <xf numFmtId="173" fontId="0" fillId="0" borderId="11" xfId="0" applyNumberFormat="1" applyFont="1" applyBorder="1"/>
    <xf numFmtId="173" fontId="0" fillId="0" borderId="2" xfId="0" applyNumberFormat="1" applyFont="1" applyBorder="1"/>
    <xf numFmtId="256" fontId="0" fillId="0" borderId="8" xfId="0" applyNumberFormat="1" applyFont="1" applyBorder="1"/>
    <xf numFmtId="0" fontId="0" fillId="0" borderId="11" xfId="0" applyFont="1" applyBorder="1"/>
    <xf numFmtId="197" fontId="0" fillId="0" borderId="11" xfId="0" applyNumberFormat="1" applyFont="1" applyBorder="1"/>
    <xf numFmtId="173" fontId="263" fillId="61" borderId="0" xfId="0" applyNumberFormat="1" applyFont="1" applyFill="1" applyBorder="1" applyAlignment="1">
      <alignment horizontal="right"/>
    </xf>
    <xf numFmtId="173" fontId="263" fillId="61" borderId="0" xfId="0" applyNumberFormat="1" applyFont="1" applyFill="1" applyBorder="1" applyAlignment="1">
      <alignment horizontal="left"/>
    </xf>
    <xf numFmtId="330" fontId="0" fillId="8" borderId="0" xfId="0" applyNumberFormat="1" applyFill="1" applyBorder="1"/>
    <xf numFmtId="330" fontId="0" fillId="8" borderId="14" xfId="0" applyNumberFormat="1" applyFill="1" applyBorder="1"/>
    <xf numFmtId="176" fontId="261" fillId="60" borderId="0" xfId="0" applyNumberFormat="1" applyFont="1" applyFill="1" applyBorder="1" applyAlignment="1">
      <alignment horizontal="right"/>
    </xf>
    <xf numFmtId="175" fontId="16" fillId="60" borderId="65" xfId="0" applyNumberFormat="1" applyFont="1" applyFill="1" applyBorder="1" applyAlignment="1">
      <alignment horizontal="right"/>
    </xf>
    <xf numFmtId="329" fontId="0" fillId="0" borderId="0" xfId="0" applyNumberFormat="1" applyFont="1" applyBorder="1"/>
    <xf numFmtId="0" fontId="0" fillId="0" borderId="0" xfId="0" applyFill="1" applyBorder="1"/>
    <xf numFmtId="173" fontId="320" fillId="0" borderId="0" xfId="0" applyNumberFormat="1" applyFont="1" applyFill="1" applyBorder="1"/>
    <xf numFmtId="173" fontId="1" fillId="0" borderId="0" xfId="0" applyNumberFormat="1" applyFont="1" applyFill="1" applyBorder="1"/>
    <xf numFmtId="0" fontId="320" fillId="0" borderId="0" xfId="0" applyNumberFormat="1" applyFont="1" applyFill="1" applyBorder="1"/>
    <xf numFmtId="0" fontId="1" fillId="0" borderId="0" xfId="0" applyFont="1" applyFill="1" applyBorder="1"/>
    <xf numFmtId="329" fontId="298" fillId="3" borderId="74" xfId="2311" applyNumberFormat="1" applyFont="1" applyFill="1" applyBorder="1"/>
    <xf numFmtId="173" fontId="16" fillId="0" borderId="0" xfId="0" applyNumberFormat="1" applyFont="1" applyFill="1" applyBorder="1"/>
    <xf numFmtId="173" fontId="297" fillId="0" borderId="0" xfId="0" applyNumberFormat="1" applyFont="1" applyBorder="1"/>
    <xf numFmtId="330" fontId="297" fillId="0" borderId="72" xfId="0" applyNumberFormat="1" applyFont="1" applyFill="1" applyBorder="1"/>
    <xf numFmtId="10" fontId="297" fillId="0" borderId="72" xfId="0" applyNumberFormat="1" applyFont="1" applyFill="1" applyBorder="1" applyAlignment="1"/>
    <xf numFmtId="174" fontId="297" fillId="0" borderId="62" xfId="0" applyNumberFormat="1" applyFont="1" applyFill="1" applyBorder="1"/>
    <xf numFmtId="173" fontId="14" fillId="0" borderId="0" xfId="0" applyNumberFormat="1" applyFont="1" applyFill="1"/>
    <xf numFmtId="173" fontId="252" fillId="8" borderId="13" xfId="0" applyNumberFormat="1" applyFont="1" applyFill="1" applyBorder="1"/>
    <xf numFmtId="256" fontId="0" fillId="0" borderId="0" xfId="0" applyNumberFormat="1"/>
    <xf numFmtId="0" fontId="19" fillId="0" borderId="0" xfId="3623" applyFont="1"/>
    <xf numFmtId="0" fontId="16" fillId="0" borderId="0" xfId="3623" applyNumberFormat="1" applyFont="1"/>
    <xf numFmtId="329" fontId="262" fillId="3" borderId="1" xfId="2311" applyNumberFormat="1" applyFont="1" applyFill="1" applyBorder="1"/>
    <xf numFmtId="4" fontId="2" fillId="0" borderId="0" xfId="0" applyNumberFormat="1" applyFont="1" applyFill="1" applyBorder="1"/>
    <xf numFmtId="4" fontId="6" fillId="0" borderId="0" xfId="0" applyNumberFormat="1" applyFont="1" applyFill="1" applyBorder="1"/>
    <xf numFmtId="4" fontId="0" fillId="0" borderId="0" xfId="0" applyNumberFormat="1" applyFill="1" applyBorder="1"/>
    <xf numFmtId="4" fontId="6" fillId="0" borderId="0" xfId="0" quotePrefix="1" applyNumberFormat="1" applyFont="1" applyFill="1" applyBorder="1"/>
    <xf numFmtId="0" fontId="261" fillId="0" borderId="0" xfId="3623" applyFont="1"/>
    <xf numFmtId="0" fontId="261" fillId="0" borderId="0" xfId="3623" applyFont="1" applyFill="1" applyBorder="1"/>
    <xf numFmtId="0" fontId="261" fillId="0" borderId="0" xfId="0" applyFont="1" applyFill="1" applyBorder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 applyFont="1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66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66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NumberFormat="1" applyFont="1" applyFill="1" applyBorder="1" applyAlignment="1">
      <alignment vertical="center"/>
    </xf>
    <xf numFmtId="0" fontId="330" fillId="0" borderId="0" xfId="3625" applyNumberFormat="1" applyFont="1" applyAlignment="1">
      <alignment vertical="center"/>
    </xf>
    <xf numFmtId="366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66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Fill="1" applyBorder="1" applyAlignment="1">
      <alignment horizontal="centerContinuous" vertical="center" readingOrder="1"/>
    </xf>
    <xf numFmtId="0" fontId="261" fillId="60" borderId="0" xfId="3623" applyFont="1" applyFill="1" applyBorder="1" applyAlignment="1">
      <alignment horizontal="left" vertical="center" wrapText="1" readingOrder="1"/>
    </xf>
    <xf numFmtId="15" fontId="261" fillId="0" borderId="0" xfId="3623" applyNumberFormat="1" applyFont="1" applyFill="1" applyBorder="1" applyAlignment="1">
      <alignment horizontal="centerContinuous" vertical="center" wrapText="1" readingOrder="1"/>
    </xf>
    <xf numFmtId="0" fontId="261" fillId="0" borderId="0" xfId="3626" applyFont="1" applyFill="1" applyAlignment="1">
      <alignment vertical="center"/>
    </xf>
    <xf numFmtId="329" fontId="261" fillId="0" borderId="0" xfId="3625" quotePrefix="1" applyNumberFormat="1" applyFont="1" applyFill="1" applyBorder="1" applyAlignment="1">
      <alignment horizontal="center" vertical="center" wrapText="1" readingOrder="1"/>
    </xf>
    <xf numFmtId="330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30" fontId="255" fillId="0" borderId="0" xfId="3630" applyNumberFormat="1" applyFont="1" applyFill="1" applyBorder="1" applyAlignment="1">
      <alignment horizontal="center" vertical="center" wrapText="1" readingOrder="1"/>
    </xf>
    <xf numFmtId="330" fontId="294" fillId="0" borderId="0" xfId="0" applyNumberFormat="1" applyFont="1"/>
    <xf numFmtId="0" fontId="294" fillId="0" borderId="0" xfId="0" applyFont="1" applyFill="1" applyBorder="1"/>
    <xf numFmtId="0" fontId="255" fillId="0" borderId="0" xfId="3623" applyFont="1" applyFill="1" applyAlignment="1">
      <alignment horizontal="left" vertical="center" readingOrder="1"/>
    </xf>
    <xf numFmtId="15" fontId="261" fillId="0" borderId="0" xfId="3623" applyNumberFormat="1" applyFont="1" applyFill="1" applyAlignment="1">
      <alignment horizontal="right" vertical="center" wrapText="1" readingOrder="1"/>
    </xf>
    <xf numFmtId="15" fontId="255" fillId="0" borderId="0" xfId="3623" applyNumberFormat="1" applyFont="1" applyFill="1" applyAlignment="1">
      <alignment horizontal="centerContinuous" vertical="center" readingOrder="1"/>
    </xf>
    <xf numFmtId="15" fontId="261" fillId="0" borderId="0" xfId="3623" applyNumberFormat="1" applyFont="1" applyFill="1" applyAlignment="1">
      <alignment horizontal="center" vertical="center" readingOrder="1"/>
    </xf>
    <xf numFmtId="15" fontId="261" fillId="0" borderId="0" xfId="3623" applyNumberFormat="1" applyFont="1" applyFill="1" applyBorder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NumberFormat="1" applyFont="1" applyAlignment="1">
      <alignment vertical="center"/>
    </xf>
    <xf numFmtId="0" fontId="322" fillId="0" borderId="0" xfId="0" applyFont="1" applyAlignment="1">
      <alignment vertical="center"/>
    </xf>
    <xf numFmtId="0" fontId="327" fillId="0" borderId="0" xfId="0" applyNumberFormat="1" applyFont="1" applyAlignment="1">
      <alignment horizontal="left" vertical="center"/>
    </xf>
    <xf numFmtId="174" fontId="327" fillId="0" borderId="0" xfId="0" applyNumberFormat="1" applyFont="1" applyAlignment="1">
      <alignment horizontal="right" vertical="center"/>
    </xf>
    <xf numFmtId="0" fontId="327" fillId="0" borderId="0" xfId="0" applyFont="1" applyFill="1" applyBorder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7" fillId="0" borderId="0" xfId="0" applyNumberFormat="1" applyFont="1" applyBorder="1" applyAlignment="1">
      <alignment horizontal="left" vertical="center"/>
    </xf>
    <xf numFmtId="0" fontId="322" fillId="0" borderId="0" xfId="0" applyFont="1" applyBorder="1" applyAlignment="1">
      <alignment vertical="center"/>
    </xf>
    <xf numFmtId="174" fontId="327" fillId="0" borderId="0" xfId="0" applyNumberFormat="1" applyFont="1" applyBorder="1" applyAlignment="1">
      <alignment horizontal="right" vertical="center"/>
    </xf>
    <xf numFmtId="0" fontId="323" fillId="0" borderId="0" xfId="0" applyNumberFormat="1" applyFont="1" applyAlignment="1">
      <alignment vertical="center"/>
    </xf>
    <xf numFmtId="0" fontId="323" fillId="0" borderId="0" xfId="0" applyFont="1" applyAlignment="1">
      <alignment vertical="center"/>
    </xf>
    <xf numFmtId="173" fontId="323" fillId="0" borderId="0" xfId="0" applyNumberFormat="1" applyFont="1" applyAlignment="1">
      <alignment vertical="center"/>
    </xf>
    <xf numFmtId="175" fontId="261" fillId="60" borderId="0" xfId="0" applyNumberFormat="1" applyFont="1" applyFill="1" applyBorder="1" applyAlignment="1">
      <alignment horizontal="center"/>
    </xf>
    <xf numFmtId="176" fontId="261" fillId="60" borderId="65" xfId="0" applyNumberFormat="1" applyFont="1" applyFill="1" applyBorder="1" applyAlignment="1">
      <alignment horizontal="center"/>
    </xf>
    <xf numFmtId="175" fontId="263" fillId="65" borderId="0" xfId="0" applyNumberFormat="1" applyFont="1" applyFill="1" applyBorder="1" applyAlignment="1">
      <alignment horizontal="center"/>
    </xf>
    <xf numFmtId="256" fontId="323" fillId="0" borderId="0" xfId="0" applyNumberFormat="1" applyFont="1" applyAlignment="1">
      <alignment horizontal="center" vertical="center"/>
    </xf>
    <xf numFmtId="174" fontId="327" fillId="0" borderId="0" xfId="0" applyNumberFormat="1" applyFont="1" applyAlignment="1">
      <alignment horizontal="center" vertical="center"/>
    </xf>
    <xf numFmtId="256" fontId="322" fillId="0" borderId="0" xfId="0" applyNumberFormat="1" applyFont="1" applyAlignment="1">
      <alignment horizontal="center" vertical="center"/>
    </xf>
    <xf numFmtId="329" fontId="327" fillId="0" borderId="0" xfId="0" applyNumberFormat="1" applyFont="1" applyFill="1" applyBorder="1" applyAlignment="1">
      <alignment horizontal="center" vertical="center"/>
    </xf>
    <xf numFmtId="256" fontId="322" fillId="0" borderId="0" xfId="0" applyNumberFormat="1" applyFont="1" applyFill="1" applyBorder="1" applyAlignment="1">
      <alignment horizontal="center" vertical="center"/>
    </xf>
    <xf numFmtId="329" fontId="327" fillId="0" borderId="0" xfId="0" applyNumberFormat="1" applyFont="1" applyAlignment="1">
      <alignment horizontal="center" vertical="center"/>
    </xf>
    <xf numFmtId="174" fontId="327" fillId="0" borderId="0" xfId="0" applyNumberFormat="1" applyFont="1" applyBorder="1" applyAlignment="1">
      <alignment horizontal="center" vertical="center"/>
    </xf>
    <xf numFmtId="329" fontId="14" fillId="0" borderId="0" xfId="0" applyNumberFormat="1" applyFont="1"/>
    <xf numFmtId="256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9" fontId="332" fillId="0" borderId="0" xfId="3625" applyNumberFormat="1" applyFont="1" applyAlignment="1">
      <alignment vertical="center"/>
    </xf>
    <xf numFmtId="0" fontId="332" fillId="0" borderId="0" xfId="3625" applyNumberFormat="1" applyFont="1" applyFill="1" applyAlignment="1">
      <alignment vertical="center"/>
    </xf>
    <xf numFmtId="256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56" fontId="333" fillId="0" borderId="0" xfId="3624" applyNumberFormat="1" applyFont="1" applyFill="1" applyAlignment="1">
      <alignment vertical="center"/>
    </xf>
    <xf numFmtId="197" fontId="333" fillId="0" borderId="0" xfId="3624" applyNumberFormat="1" applyFont="1" applyAlignment="1">
      <alignment vertical="center"/>
    </xf>
    <xf numFmtId="365" fontId="333" fillId="0" borderId="0" xfId="3624" applyNumberFormat="1" applyFont="1" applyAlignment="1">
      <alignment vertical="center"/>
    </xf>
    <xf numFmtId="256" fontId="331" fillId="6" borderId="11" xfId="3624" applyNumberFormat="1" applyFont="1" applyFill="1" applyBorder="1" applyAlignment="1">
      <alignment vertical="center"/>
    </xf>
    <xf numFmtId="256" fontId="333" fillId="0" borderId="0" xfId="3624" applyNumberFormat="1" applyFont="1" applyFill="1" applyAlignment="1">
      <alignment horizontal="center" vertical="center"/>
    </xf>
    <xf numFmtId="329" fontId="333" fillId="0" borderId="0" xfId="3625" applyNumberFormat="1" applyFont="1" applyFill="1" applyAlignment="1">
      <alignment horizontal="center" vertical="center"/>
    </xf>
    <xf numFmtId="256" fontId="331" fillId="6" borderId="87" xfId="3624" applyNumberFormat="1" applyFont="1" applyFill="1" applyBorder="1" applyAlignment="1">
      <alignment horizontal="center" vertical="center"/>
    </xf>
    <xf numFmtId="329" fontId="331" fillId="6" borderId="87" xfId="3625" applyNumberFormat="1" applyFont="1" applyFill="1" applyBorder="1" applyAlignment="1">
      <alignment horizontal="center" vertical="center"/>
    </xf>
    <xf numFmtId="256" fontId="333" fillId="0" borderId="0" xfId="3626" applyNumberFormat="1" applyFont="1" applyFill="1" applyAlignment="1">
      <alignment horizontal="center" vertical="center"/>
    </xf>
    <xf numFmtId="0" fontId="333" fillId="0" borderId="0" xfId="3623" applyFont="1" applyFill="1" applyBorder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9" fontId="334" fillId="0" borderId="0" xfId="3626" applyNumberFormat="1" applyFont="1" applyFill="1" applyAlignment="1">
      <alignment horizontal="center" vertical="center"/>
    </xf>
    <xf numFmtId="0" fontId="333" fillId="0" borderId="0" xfId="3626" applyFont="1" applyFill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Fill="1" applyAlignment="1">
      <alignment horizontal="left" vertical="center" indent="1"/>
    </xf>
    <xf numFmtId="0" fontId="333" fillId="60" borderId="0" xfId="3623" applyFont="1" applyFill="1" applyBorder="1" applyAlignment="1">
      <alignment horizontal="right" vertical="center" wrapText="1" readingOrder="1"/>
    </xf>
    <xf numFmtId="331" fontId="333" fillId="60" borderId="89" xfId="3625" quotePrefix="1" applyNumberFormat="1" applyFont="1" applyFill="1" applyBorder="1" applyAlignment="1">
      <alignment horizontal="center" vertical="center" wrapText="1" readingOrder="1"/>
    </xf>
    <xf numFmtId="329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NumberFormat="1" applyFont="1" applyAlignment="1">
      <alignment horizontal="center" vertical="center"/>
    </xf>
    <xf numFmtId="256" fontId="333" fillId="0" borderId="0" xfId="3630" applyNumberFormat="1" applyFont="1" applyFill="1" applyBorder="1" applyAlignment="1">
      <alignment horizontal="center" vertical="center"/>
    </xf>
    <xf numFmtId="256" fontId="333" fillId="6" borderId="0" xfId="3630" applyNumberFormat="1" applyFont="1" applyFill="1" applyBorder="1" applyAlignment="1">
      <alignment horizontal="center" vertical="center"/>
    </xf>
    <xf numFmtId="256" fontId="331" fillId="6" borderId="0" xfId="3630" applyNumberFormat="1" applyFont="1" applyFill="1" applyBorder="1" applyAlignment="1">
      <alignment horizontal="center" vertical="center"/>
    </xf>
    <xf numFmtId="329" fontId="333" fillId="60" borderId="92" xfId="3625" applyNumberFormat="1" applyFont="1" applyFill="1" applyBorder="1" applyAlignment="1">
      <alignment vertical="center" wrapText="1" readingOrder="1"/>
    </xf>
    <xf numFmtId="256" fontId="333" fillId="0" borderId="11" xfId="3630" applyNumberFormat="1" applyFont="1" applyFill="1" applyBorder="1" applyAlignment="1">
      <alignment horizontal="center" vertical="center"/>
    </xf>
    <xf numFmtId="173" fontId="17" fillId="7" borderId="0" xfId="0" applyNumberFormat="1" applyFont="1" applyFill="1" applyBorder="1" applyAlignment="1">
      <alignment horizontal="left"/>
    </xf>
    <xf numFmtId="0" fontId="263" fillId="65" borderId="0" xfId="0" applyFont="1" applyFill="1" applyBorder="1" applyAlignment="1"/>
    <xf numFmtId="0" fontId="263" fillId="64" borderId="0" xfId="0" applyFont="1" applyFill="1" applyBorder="1" applyAlignment="1"/>
    <xf numFmtId="173" fontId="261" fillId="0" borderId="69" xfId="0" applyNumberFormat="1" applyFont="1" applyFill="1" applyBorder="1"/>
    <xf numFmtId="173" fontId="0" fillId="0" borderId="69" xfId="0" applyNumberFormat="1" applyFont="1" applyFill="1" applyBorder="1"/>
    <xf numFmtId="181" fontId="299" fillId="0" borderId="69" xfId="2309" applyNumberFormat="1" applyFont="1" applyFill="1" applyBorder="1"/>
    <xf numFmtId="173" fontId="261" fillId="0" borderId="11" xfId="0" applyNumberFormat="1" applyFont="1" applyFill="1" applyBorder="1" applyAlignment="1"/>
    <xf numFmtId="175" fontId="261" fillId="60" borderId="91" xfId="0" applyNumberFormat="1" applyFont="1" applyFill="1" applyBorder="1" applyAlignment="1">
      <alignment horizontal="right"/>
    </xf>
    <xf numFmtId="0" fontId="0" fillId="0" borderId="70" xfId="0" applyFont="1" applyBorder="1"/>
    <xf numFmtId="0" fontId="0" fillId="0" borderId="71" xfId="0" applyFont="1" applyBorder="1"/>
    <xf numFmtId="0" fontId="0" fillId="0" borderId="68" xfId="0" applyFont="1" applyBorder="1"/>
    <xf numFmtId="329" fontId="251" fillId="0" borderId="0" xfId="0" applyNumberFormat="1" applyFont="1" applyBorder="1"/>
    <xf numFmtId="329" fontId="251" fillId="0" borderId="69" xfId="0" applyNumberFormat="1" applyFont="1" applyBorder="1"/>
    <xf numFmtId="37" fontId="261" fillId="0" borderId="83" xfId="0" applyNumberFormat="1" applyFont="1" applyFill="1" applyBorder="1" applyAlignment="1">
      <alignment horizontal="center"/>
    </xf>
    <xf numFmtId="37" fontId="261" fillId="0" borderId="82" xfId="0" applyNumberFormat="1" applyFont="1" applyFill="1" applyBorder="1" applyAlignment="1">
      <alignment horizontal="center"/>
    </xf>
    <xf numFmtId="37" fontId="261" fillId="0" borderId="0" xfId="0" applyNumberFormat="1" applyFont="1" applyFill="1" applyBorder="1" applyAlignment="1">
      <alignment horizontal="center"/>
    </xf>
    <xf numFmtId="37" fontId="261" fillId="0" borderId="84" xfId="0" applyNumberFormat="1" applyFont="1" applyFill="1" applyBorder="1" applyAlignment="1">
      <alignment horizontal="center"/>
    </xf>
    <xf numFmtId="37" fontId="261" fillId="0" borderId="13" xfId="0" applyNumberFormat="1" applyFont="1" applyFill="1" applyBorder="1" applyAlignment="1">
      <alignment horizontal="center"/>
    </xf>
    <xf numFmtId="37" fontId="261" fillId="97" borderId="0" xfId="0" applyNumberFormat="1" applyFont="1" applyFill="1" applyBorder="1" applyAlignment="1">
      <alignment horizontal="center"/>
    </xf>
    <xf numFmtId="37" fontId="261" fillId="0" borderId="69" xfId="0" applyNumberFormat="1" applyFont="1" applyFill="1" applyBorder="1" applyAlignment="1">
      <alignment horizontal="center"/>
    </xf>
    <xf numFmtId="37" fontId="261" fillId="0" borderId="10" xfId="0" applyNumberFormat="1" applyFont="1" applyFill="1" applyBorder="1" applyAlignment="1">
      <alignment horizontal="center"/>
    </xf>
    <xf numFmtId="37" fontId="261" fillId="0" borderId="11" xfId="0" applyNumberFormat="1" applyFont="1" applyFill="1" applyBorder="1" applyAlignment="1">
      <alignment horizontal="center"/>
    </xf>
    <xf numFmtId="37" fontId="261" fillId="0" borderId="68" xfId="0" applyNumberFormat="1" applyFont="1" applyFill="1" applyBorder="1" applyAlignment="1">
      <alignment horizontal="center"/>
    </xf>
    <xf numFmtId="256" fontId="0" fillId="0" borderId="7" xfId="0" applyNumberFormat="1" applyFill="1" applyBorder="1" applyAlignment="1">
      <alignment horizontal="center"/>
    </xf>
    <xf numFmtId="256" fontId="0" fillId="0" borderId="8" xfId="0" applyNumberFormat="1" applyFill="1" applyBorder="1" applyAlignment="1">
      <alignment horizontal="center"/>
    </xf>
    <xf numFmtId="256" fontId="0" fillId="0" borderId="0" xfId="0" applyNumberFormat="1" applyFill="1" applyBorder="1" applyAlignment="1">
      <alignment horizontal="center"/>
    </xf>
    <xf numFmtId="256" fontId="0" fillId="0" borderId="9" xfId="0" applyNumberFormat="1" applyFill="1" applyBorder="1" applyAlignment="1">
      <alignment horizontal="center"/>
    </xf>
    <xf numFmtId="256" fontId="0" fillId="0" borderId="13" xfId="0" applyNumberFormat="1" applyFill="1" applyBorder="1" applyAlignment="1">
      <alignment horizontal="center"/>
    </xf>
    <xf numFmtId="256" fontId="0" fillId="8" borderId="0" xfId="0" applyNumberFormat="1" applyFill="1" applyBorder="1" applyAlignment="1">
      <alignment horizontal="center"/>
    </xf>
    <xf numFmtId="256" fontId="0" fillId="0" borderId="14" xfId="0" applyNumberFormat="1" applyFill="1" applyBorder="1" applyAlignment="1">
      <alignment horizontal="center"/>
    </xf>
    <xf numFmtId="256" fontId="0" fillId="0" borderId="10" xfId="0" applyNumberFormat="1" applyFill="1" applyBorder="1" applyAlignment="1">
      <alignment horizontal="center"/>
    </xf>
    <xf numFmtId="256" fontId="0" fillId="0" borderId="11" xfId="0" applyNumberFormat="1" applyFill="1" applyBorder="1" applyAlignment="1">
      <alignment horizontal="center"/>
    </xf>
    <xf numFmtId="256" fontId="0" fillId="0" borderId="12" xfId="0" applyNumberFormat="1" applyFill="1" applyBorder="1" applyAlignment="1">
      <alignment horizontal="center"/>
    </xf>
    <xf numFmtId="10" fontId="0" fillId="8" borderId="0" xfId="0" applyNumberFormat="1" applyFill="1" applyBorder="1" applyAlignment="1">
      <alignment horizontal="center"/>
    </xf>
    <xf numFmtId="10" fontId="297" fillId="0" borderId="72" xfId="0" applyNumberFormat="1" applyFont="1" applyFill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30" fontId="0" fillId="8" borderId="0" xfId="0" applyNumberFormat="1" applyFill="1" applyBorder="1" applyAlignment="1">
      <alignment horizontal="center"/>
    </xf>
    <xf numFmtId="330" fontId="297" fillId="0" borderId="63" xfId="0" applyNumberFormat="1" applyFont="1" applyFill="1" applyBorder="1" applyAlignment="1">
      <alignment horizontal="center"/>
    </xf>
    <xf numFmtId="330" fontId="0" fillId="8" borderId="14" xfId="0" applyNumberFormat="1" applyFill="1" applyBorder="1" applyAlignment="1">
      <alignment horizontal="center"/>
    </xf>
    <xf numFmtId="37" fontId="0" fillId="0" borderId="7" xfId="0" applyNumberFormat="1" applyFill="1" applyBorder="1" applyAlignment="1">
      <alignment horizontal="center"/>
    </xf>
    <xf numFmtId="37" fontId="0" fillId="0" borderId="8" xfId="0" applyNumberFormat="1" applyFill="1" applyBorder="1" applyAlignment="1">
      <alignment horizontal="center"/>
    </xf>
    <xf numFmtId="37" fontId="0" fillId="0" borderId="9" xfId="0" applyNumberFormat="1" applyFill="1" applyBorder="1" applyAlignment="1">
      <alignment horizontal="center"/>
    </xf>
    <xf numFmtId="37" fontId="0" fillId="0" borderId="13" xfId="0" applyNumberFormat="1" applyFill="1" applyBorder="1" applyAlignment="1">
      <alignment horizontal="center"/>
    </xf>
    <xf numFmtId="37" fontId="0" fillId="8" borderId="0" xfId="0" applyNumberFormat="1" applyFill="1" applyBorder="1" applyAlignment="1">
      <alignment horizontal="center"/>
    </xf>
    <xf numFmtId="37" fontId="0" fillId="0" borderId="0" xfId="0" applyNumberFormat="1" applyFill="1" applyBorder="1" applyAlignment="1">
      <alignment horizontal="center"/>
    </xf>
    <xf numFmtId="37" fontId="0" fillId="0" borderId="14" xfId="0" applyNumberFormat="1" applyFill="1" applyBorder="1" applyAlignment="1">
      <alignment horizontal="center"/>
    </xf>
    <xf numFmtId="37" fontId="0" fillId="0" borderId="10" xfId="0" applyNumberFormat="1" applyFill="1" applyBorder="1" applyAlignment="1">
      <alignment horizontal="center"/>
    </xf>
    <xf numFmtId="37" fontId="0" fillId="0" borderId="11" xfId="0" applyNumberFormat="1" applyFill="1" applyBorder="1" applyAlignment="1">
      <alignment horizontal="center"/>
    </xf>
    <xf numFmtId="37" fontId="0" fillId="0" borderId="12" xfId="0" applyNumberFormat="1" applyFill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76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NumberFormat="1" applyFont="1" applyAlignment="1">
      <alignment horizontal="center"/>
    </xf>
    <xf numFmtId="181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73" fontId="263" fillId="64" borderId="0" xfId="0" applyNumberFormat="1" applyFont="1" applyFill="1" applyBorder="1" applyAlignment="1">
      <alignment horizontal="centerContinuous"/>
    </xf>
    <xf numFmtId="173" fontId="263" fillId="65" borderId="0" xfId="0" applyNumberFormat="1" applyFont="1" applyFill="1" applyBorder="1" applyAlignment="1">
      <alignment horizontal="centerContinuous"/>
    </xf>
    <xf numFmtId="173" fontId="263" fillId="98" borderId="0" xfId="0" applyNumberFormat="1" applyFont="1" applyFill="1" applyBorder="1" applyAlignment="1">
      <alignment horizontal="centerContinuous"/>
    </xf>
    <xf numFmtId="0" fontId="0" fillId="0" borderId="0" xfId="0"/>
    <xf numFmtId="0" fontId="0" fillId="0" borderId="0" xfId="0" applyAlignment="1">
      <alignment horizontal="left"/>
    </xf>
    <xf numFmtId="256" fontId="337" fillId="0" borderId="0" xfId="0" applyNumberFormat="1" applyFont="1" applyAlignment="1">
      <alignment horizontal="center"/>
    </xf>
    <xf numFmtId="256" fontId="340" fillId="0" borderId="82" xfId="0" applyNumberFormat="1" applyFont="1" applyBorder="1" applyAlignment="1">
      <alignment horizontal="center"/>
    </xf>
    <xf numFmtId="330" fontId="340" fillId="0" borderId="82" xfId="0" applyNumberFormat="1" applyFont="1" applyBorder="1" applyAlignment="1">
      <alignment horizontal="center"/>
    </xf>
    <xf numFmtId="0" fontId="322" fillId="0" borderId="0" xfId="0" applyNumberFormat="1" applyFont="1" applyBorder="1" applyAlignment="1">
      <alignment horizontal="left" vertical="center"/>
    </xf>
    <xf numFmtId="256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7" fontId="0" fillId="0" borderId="8" xfId="0" applyNumberFormat="1" applyFont="1" applyBorder="1"/>
    <xf numFmtId="329" fontId="251" fillId="0" borderId="11" xfId="2309" applyNumberFormat="1" applyFont="1" applyBorder="1"/>
    <xf numFmtId="329" fontId="327" fillId="0" borderId="11" xfId="0" applyNumberFormat="1" applyFont="1" applyFill="1" applyBorder="1" applyAlignment="1">
      <alignment horizontal="center" vertical="center"/>
    </xf>
    <xf numFmtId="173" fontId="341" fillId="80" borderId="1" xfId="0" applyNumberFormat="1" applyFont="1" applyFill="1" applyBorder="1" applyAlignment="1">
      <alignment horizontal="right"/>
    </xf>
    <xf numFmtId="0" fontId="327" fillId="0" borderId="11" xfId="0" applyNumberFormat="1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74" fontId="327" fillId="0" borderId="11" xfId="0" applyNumberFormat="1" applyFont="1" applyBorder="1" applyAlignment="1">
      <alignment horizontal="right" vertical="center"/>
    </xf>
    <xf numFmtId="174" fontId="327" fillId="0" borderId="11" xfId="0" applyNumberFormat="1" applyFont="1" applyBorder="1" applyAlignment="1">
      <alignment horizontal="center" vertical="center"/>
    </xf>
    <xf numFmtId="10" fontId="0" fillId="0" borderId="0" xfId="0" applyNumberFormat="1"/>
    <xf numFmtId="0" fontId="0" fillId="80" borderId="0" xfId="0" applyFont="1" applyFill="1"/>
    <xf numFmtId="282" fontId="16" fillId="80" borderId="1" xfId="2" applyNumberFormat="1" applyFont="1" applyFill="1" applyBorder="1" applyAlignment="1">
      <alignment horizontal="right"/>
    </xf>
    <xf numFmtId="4" fontId="0" fillId="0" borderId="0" xfId="0" applyNumberFormat="1" applyFill="1"/>
    <xf numFmtId="17" fontId="20" fillId="0" borderId="0" xfId="0" applyNumberFormat="1" applyFont="1" applyAlignment="1">
      <alignment horizontal="left"/>
    </xf>
    <xf numFmtId="329" fontId="9" fillId="0" borderId="0" xfId="2311" applyNumberFormat="1" applyFont="1" applyFill="1" applyBorder="1"/>
    <xf numFmtId="0" fontId="14" fillId="0" borderId="0" xfId="0" applyFont="1" applyFill="1"/>
    <xf numFmtId="173" fontId="9" fillId="0" borderId="0" xfId="0" applyNumberFormat="1" applyFont="1" applyFill="1"/>
    <xf numFmtId="174" fontId="9" fillId="0" borderId="0" xfId="0" applyNumberFormat="1" applyFont="1" applyFill="1" applyAlignment="1">
      <alignment horizontal="right"/>
    </xf>
    <xf numFmtId="174" fontId="262" fillId="0" borderId="0" xfId="0" applyNumberFormat="1" applyFont="1" applyFill="1" applyAlignment="1">
      <alignment horizontal="right"/>
    </xf>
    <xf numFmtId="329" fontId="298" fillId="0" borderId="0" xfId="2311" applyNumberFormat="1" applyFont="1" applyFill="1" applyBorder="1"/>
    <xf numFmtId="39" fontId="14" fillId="0" borderId="0" xfId="0" applyNumberFormat="1" applyFont="1"/>
    <xf numFmtId="329" fontId="9" fillId="104" borderId="1" xfId="2311" applyNumberFormat="1" applyFont="1" applyFill="1" applyBorder="1"/>
    <xf numFmtId="0" fontId="14" fillId="104" borderId="0" xfId="0" applyFont="1" applyFill="1"/>
    <xf numFmtId="173" fontId="261" fillId="104" borderId="2" xfId="0" applyNumberFormat="1" applyFont="1" applyFill="1" applyBorder="1"/>
    <xf numFmtId="181" fontId="16" fillId="104" borderId="73" xfId="0" applyNumberFormat="1" applyFont="1" applyFill="1" applyBorder="1" applyAlignment="1"/>
    <xf numFmtId="330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73" fontId="297" fillId="104" borderId="0" xfId="0" applyNumberFormat="1" applyFont="1" applyFill="1" applyBorder="1"/>
    <xf numFmtId="173" fontId="297" fillId="104" borderId="69" xfId="0" applyNumberFormat="1" applyFont="1" applyFill="1" applyBorder="1"/>
    <xf numFmtId="181" fontId="299" fillId="104" borderId="0" xfId="2309" applyNumberFormat="1" applyFont="1" applyFill="1" applyBorder="1"/>
    <xf numFmtId="174" fontId="16" fillId="104" borderId="1" xfId="0" applyNumberFormat="1" applyFont="1" applyFill="1" applyBorder="1"/>
    <xf numFmtId="174" fontId="8" fillId="104" borderId="1" xfId="0" applyNumberFormat="1" applyFont="1" applyFill="1" applyBorder="1"/>
    <xf numFmtId="10" fontId="8" fillId="104" borderId="1" xfId="0" applyNumberFormat="1" applyFont="1" applyFill="1" applyBorder="1"/>
    <xf numFmtId="330" fontId="16" fillId="104" borderId="1" xfId="0" applyNumberFormat="1" applyFont="1" applyFill="1" applyBorder="1"/>
    <xf numFmtId="330" fontId="16" fillId="104" borderId="1" xfId="0" applyNumberFormat="1" applyFont="1" applyFill="1" applyBorder="1" applyAlignment="1"/>
    <xf numFmtId="173" fontId="297" fillId="104" borderId="2" xfId="0" applyNumberFormat="1" applyFont="1" applyFill="1" applyBorder="1"/>
    <xf numFmtId="329" fontId="9" fillId="104" borderId="0" xfId="0" applyNumberFormat="1" applyFont="1" applyFill="1" applyAlignment="1">
      <alignment horizontal="right"/>
    </xf>
    <xf numFmtId="174" fontId="251" fillId="105" borderId="0" xfId="0" applyNumberFormat="1" applyFont="1" applyFill="1" applyBorder="1"/>
    <xf numFmtId="0" fontId="251" fillId="106" borderId="0" xfId="0" applyFont="1" applyFill="1" applyBorder="1"/>
    <xf numFmtId="329" fontId="251" fillId="106" borderId="0" xfId="0" applyNumberFormat="1" applyFont="1" applyFill="1" applyBorder="1"/>
    <xf numFmtId="329" fontId="251" fillId="106" borderId="69" xfId="0" applyNumberFormat="1" applyFont="1" applyFill="1" applyBorder="1"/>
    <xf numFmtId="174" fontId="251" fillId="106" borderId="0" xfId="0" applyNumberFormat="1" applyFont="1" applyFill="1" applyBorder="1"/>
    <xf numFmtId="0" fontId="0" fillId="106" borderId="0" xfId="0" applyFill="1"/>
    <xf numFmtId="174" fontId="251" fillId="106" borderId="69" xfId="0" applyNumberFormat="1" applyFont="1" applyFill="1" applyBorder="1"/>
    <xf numFmtId="174" fontId="251" fillId="105" borderId="69" xfId="0" applyNumberFormat="1" applyFont="1" applyFill="1" applyBorder="1"/>
    <xf numFmtId="173" fontId="0" fillId="105" borderId="0" xfId="0" applyNumberFormat="1" applyFont="1" applyFill="1" applyBorder="1"/>
    <xf numFmtId="342" fontId="6" fillId="0" borderId="0" xfId="3809" applyNumberFormat="1" applyFont="1" applyFill="1" applyBorder="1" applyAlignment="1">
      <alignment horizontal="left"/>
    </xf>
    <xf numFmtId="0" fontId="9" fillId="0" borderId="0" xfId="0" applyFont="1"/>
    <xf numFmtId="174" fontId="9" fillId="0" borderId="0" xfId="0" applyNumberFormat="1" applyFont="1" applyBorder="1"/>
    <xf numFmtId="173" fontId="261" fillId="105" borderId="0" xfId="0" applyNumberFormat="1" applyFont="1" applyFill="1" applyBorder="1" applyAlignment="1"/>
    <xf numFmtId="173" fontId="0" fillId="105" borderId="2" xfId="0" applyNumberFormat="1" applyFont="1" applyFill="1" applyBorder="1"/>
    <xf numFmtId="0" fontId="0" fillId="105" borderId="0" xfId="0" applyFill="1"/>
    <xf numFmtId="174" fontId="251" fillId="106" borderId="0" xfId="0" applyNumberFormat="1" applyFont="1" applyFill="1" applyBorder="1" applyAlignment="1">
      <alignment horizontal="right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Border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Border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10">
    <cellStyle name="_x0010_" xfId="3627"/>
    <cellStyle name="-" xfId="9"/>
    <cellStyle name="#" xfId="10"/>
    <cellStyle name="#_Feeder" xfId="11"/>
    <cellStyle name="#_Feeder_Ratings Adj._FLAMINGO" xfId="1749"/>
    <cellStyle name="#_Gerresheimer_Bank_model_021205_final" xfId="12"/>
    <cellStyle name="#_M&amp;A Model" xfId="13"/>
    <cellStyle name="#_M&amp;A Model_Ratings Adj._FLAMINGO" xfId="1750"/>
    <cellStyle name="#_M&amp;A projections" xfId="14"/>
    <cellStyle name="#_M&amp;A projections_Ratings Adj._FLAMINGO" xfId="1751"/>
    <cellStyle name="#_Ratings Adj._FLAMINGO" xfId="1752"/>
    <cellStyle name="$" xfId="15"/>
    <cellStyle name="$ &amp; ¢" xfId="1753"/>
    <cellStyle name="$ Currency" xfId="16"/>
    <cellStyle name="$_Ipsen Act" xfId="1754"/>
    <cellStyle name="$0" xfId="17"/>
    <cellStyle name="$1" xfId="18"/>
    <cellStyle name="$2" xfId="19"/>
    <cellStyle name="$m" xfId="20"/>
    <cellStyle name="%" xfId="21"/>
    <cellStyle name="% [2]" xfId="22"/>
    <cellStyle name="%.00" xfId="23"/>
    <cellStyle name="%_Blank LBO Model v15" xfId="24"/>
    <cellStyle name="%_Crib sheet" xfId="1755"/>
    <cellStyle name="%_Crib sheet_Covenants_draft_260412" xfId="1756"/>
    <cellStyle name="%_Feeder" xfId="25"/>
    <cellStyle name="%_George - LBO Model 3.1" xfId="26"/>
    <cellStyle name="%_Head Office Pack - Draft 4" xfId="1757"/>
    <cellStyle name="%_Head Office Pack - Draft 4_Covenants_draft_260412" xfId="1758"/>
    <cellStyle name="%_Internal" xfId="1759"/>
    <cellStyle name="%_Internal 1" xfId="1760"/>
    <cellStyle name="%_Internal 1_Projections Pack" xfId="1761"/>
    <cellStyle name="%_Internal 1_Projections Pack (TM)" xfId="1762"/>
    <cellStyle name="%_Internal 1_Quasi Rent Illustration" xfId="1763"/>
    <cellStyle name="%_Internal_Projections Pack" xfId="1764"/>
    <cellStyle name="%_Internal_Projections Pack (TM)" xfId="1765"/>
    <cellStyle name="%_Internal_Quasi Rent Illustration" xfId="1766"/>
    <cellStyle name="%_IT Budget 2011" xfId="1767"/>
    <cellStyle name="%_IT Budget Master 2011 - Draft V2 1 (2)" xfId="1768"/>
    <cellStyle name="%_Labour Benchmark - 17th Sept" xfId="1769"/>
    <cellStyle name="%_Labour Benchmark - 17th Sept_Covenants_draft_260412" xfId="1770"/>
    <cellStyle name="%_Labour Top Down vs Bottom Up" xfId="1771"/>
    <cellStyle name="%_Labour Top Down vs Bottom Up_Covenants_draft_260412" xfId="1772"/>
    <cellStyle name="%_M&amp;A Model" xfId="27"/>
    <cellStyle name="%_M&amp;A projections" xfId="28"/>
    <cellStyle name="%_Marketing &amp; Product" xfId="1773"/>
    <cellStyle name="%_Marketing Bridge" xfId="1774"/>
    <cellStyle name="%_Marketing Bridge_Covenants_draft_260412" xfId="1775"/>
    <cellStyle name="%_Marketing Bridge_Marketing &amp; Product" xfId="1776"/>
    <cellStyle name="%_Net Gain Review Pack - 28th Sept" xfId="1777"/>
    <cellStyle name="%_Page for Exec Pack" xfId="1778"/>
    <cellStyle name="%_PAR overlay" xfId="1779"/>
    <cellStyle name="%_PAR overlay_Projections Pack" xfId="1780"/>
    <cellStyle name="%_PAR overlay_Projections Pack (TM)" xfId="1781"/>
    <cellStyle name="%_PAR overlay_Quasi Rent Illustration" xfId="1782"/>
    <cellStyle name="%_Sceanrio 2 Update - Dec 2nd" xfId="1783"/>
    <cellStyle name="%_Sceanrio 2 Update - Dec 2nd_Projections Pack" xfId="1784"/>
    <cellStyle name="%_Sceanrio 2 Update - Dec 2nd_Projections Pack (TM)" xfId="1785"/>
    <cellStyle name="%_Sceanrio 2 Update - Dec 2nd_Quasi Rent Illustration" xfId="1786"/>
    <cellStyle name="%_Sheet1" xfId="1787"/>
    <cellStyle name="%0" xfId="29"/>
    <cellStyle name="%1" xfId="30"/>
    <cellStyle name="%2" xfId="31"/>
    <cellStyle name="%input" xfId="3629"/>
    <cellStyle name="******************************************" xfId="32"/>
    <cellStyle name="*TD" xfId="33"/>
    <cellStyle name="." xfId="34"/>
    <cellStyle name=".1" xfId="35"/>
    <cellStyle name=";;;" xfId="36"/>
    <cellStyle name="?? [0]_??" xfId="37"/>
    <cellStyle name="??_?.????" xfId="38"/>
    <cellStyle name="\" xfId="39"/>
    <cellStyle name="\_bluebirdacdil13" xfId="40"/>
    <cellStyle name="\_ecomps7w" xfId="41"/>
    <cellStyle name="\_equitycomps9" xfId="42"/>
    <cellStyle name="\_houston Isabel" xfId="43"/>
    <cellStyle name="\_hybrid2" xfId="44"/>
    <cellStyle name="\_ITXCcomps" xfId="45"/>
    <cellStyle name="\_newcomps16" xfId="46"/>
    <cellStyle name="\_ravenpitch3" xfId="47"/>
    <cellStyle name="_%(SignOnly)" xfId="48"/>
    <cellStyle name="_%(SignOnly)_EXPN" xfId="49"/>
    <cellStyle name="_%(SignSpaceOnly)" xfId="50"/>
    <cellStyle name="_%(SignSpaceOnly)_EXPN" xfId="51"/>
    <cellStyle name="_2009 04 Capex reporting Exec pack draft" xfId="1788"/>
    <cellStyle name="_2009 04 Capex reporting Exec pack draft_Covenants_draft_260412" xfId="1789"/>
    <cellStyle name="_2009 04 Capex reporting Exec pack draft_Head Office Pack - Draft 1" xfId="1790"/>
    <cellStyle name="_2009 04 Capex reporting Exec pack draft_Head Office Pack - Draft 4" xfId="1791"/>
    <cellStyle name="_2009 04 Capex reporting Exec pack draft_Property Budget 2011" xfId="1792"/>
    <cellStyle name="_2009 04 Capex reporting Exec pack draft_Property Budget 2011_Covenants_draft_260412" xfId="1793"/>
    <cellStyle name="_2009 04 Capex reporting Exec pack draft_Property Budget 2011_Marketing &amp; Product" xfId="1794"/>
    <cellStyle name="_2009 04 Capex reporting Exec pack draft_Sheet1" xfId="1795"/>
    <cellStyle name="_2009 05 Capex reporting EXEC PACK draft v2" xfId="1796"/>
    <cellStyle name="_2009 05 Capex reporting EXEC PACK draft v2_Covenants_draft_260412" xfId="1797"/>
    <cellStyle name="_2009 05 Capex reporting EXEC PACK draft v2_Head Office Pack - Draft 1" xfId="1798"/>
    <cellStyle name="_2009 05 Capex reporting EXEC PACK draft v2_Head Office Pack - Draft 4" xfId="1799"/>
    <cellStyle name="_2009 05 Capex reporting EXEC PACK draft v2_Property Budget 2011" xfId="1800"/>
    <cellStyle name="_2009 05 Capex reporting EXEC PACK draft v2_Property Budget 2011_Covenants_draft_260412" xfId="1801"/>
    <cellStyle name="_2009 05 Capex reporting EXEC PACK draft v2_Property Budget 2011_Marketing &amp; Product" xfId="1802"/>
    <cellStyle name="_2009 05 Capex reporting EXEC PACK draft v2_Sheet1" xfId="1803"/>
    <cellStyle name="_2009 P3 Capex report v1" xfId="1804"/>
    <cellStyle name="_2009 P3 Capex report v1_Covenants_draft_260412" xfId="1805"/>
    <cellStyle name="_2009 P3 Capex report v1_Head Office Pack - Draft 1" xfId="1806"/>
    <cellStyle name="_2009 P3 Capex report v1_Head Office Pack - Draft 4" xfId="1807"/>
    <cellStyle name="_2009 P3 Capex report v1_Property Budget 2011" xfId="1808"/>
    <cellStyle name="_2009 P3 Capex report v1_Property Budget 2011_Covenants_draft_260412" xfId="1809"/>
    <cellStyle name="_2009 P3 Capex report v1_Property Budget 2011_Marketing &amp; Product" xfId="1810"/>
    <cellStyle name="_2009 P3 Capex report v1_Sheet1" xfId="1811"/>
    <cellStyle name="_2010 Budget - Property PPM" xfId="1812"/>
    <cellStyle name="_2010 Budget - Property PPM_Covenants_draft_260412" xfId="1813"/>
    <cellStyle name="_2010 Budget - Property PPM_Head Office Pack - Draft 1" xfId="1814"/>
    <cellStyle name="_2010 Budget - Property PPM_Head Office Pack - Draft 4" xfId="1815"/>
    <cellStyle name="_2010 Budget - Property PPM_Sheet1" xfId="1816"/>
    <cellStyle name="_2010 Rent Budget" xfId="1817"/>
    <cellStyle name="_2010 Rent Budget_Covenants_draft_260412" xfId="1818"/>
    <cellStyle name="_2010 Rent Budget_Head Office Pack - Draft 1" xfId="1819"/>
    <cellStyle name="_2010 Rent Budget_Head Office Pack - Draft 4" xfId="1820"/>
    <cellStyle name="_2010 Rent Budget_Sheet1" xfId="1821"/>
    <cellStyle name="_57 Project Fly (2)" xfId="52"/>
    <cellStyle name="_Aberdeen" xfId="1822"/>
    <cellStyle name="_Accruals" xfId="1823"/>
    <cellStyle name="_Accruals_Covenants_draft_260412" xfId="1824"/>
    <cellStyle name="_Accruals_Head Office Pack - Draft 1" xfId="1825"/>
    <cellStyle name="_Accruals_Head Office Pack - Draft 4" xfId="1826"/>
    <cellStyle name="_Accruals_Property Budget 2011" xfId="1827"/>
    <cellStyle name="_Accruals_Property Budget 2011_Covenants_draft_260412" xfId="1828"/>
    <cellStyle name="_Accruals_Property Budget 2011_Marketing &amp; Product" xfId="1829"/>
    <cellStyle name="_Accruals_Sheet1" xfId="1830"/>
    <cellStyle name="_Benchmarking - generic sheet" xfId="1831"/>
    <cellStyle name="_Benchmarking - generic sheet_Covenants_draft_260412" xfId="1832"/>
    <cellStyle name="_Benchmarking - generic sheet_Head Office Pack - Draft 1" xfId="1833"/>
    <cellStyle name="_Benchmarking - generic sheet_Head Office Pack - Draft 4" xfId="1834"/>
    <cellStyle name="_Benchmarking - generic sheet_Property Budget 2011" xfId="1835"/>
    <cellStyle name="_Benchmarking - generic sheet_Property Budget 2011_Covenants_draft_260412" xfId="1836"/>
    <cellStyle name="_Benchmarking - generic sheet_Property Budget 2011_Marketing &amp; Product" xfId="1837"/>
    <cellStyle name="_Benchmarking - generic sheet_Sheet1" xfId="1838"/>
    <cellStyle name="_Blank LBO Model v15" xfId="53"/>
    <cellStyle name="_Book2" xfId="54"/>
    <cellStyle name="_Book2_Covenants_draft_260412" xfId="1839"/>
    <cellStyle name="_Book2_Head Office Pack - Draft 1" xfId="1840"/>
    <cellStyle name="_Book2_Head Office Pack - Draft 4" xfId="1841"/>
    <cellStyle name="_Book2_Property Budget 2011" xfId="1842"/>
    <cellStyle name="_Book2_Property Budget 2011_Covenants_draft_260412" xfId="1843"/>
    <cellStyle name="_Book2_Property Budget 2011_Marketing &amp; Product" xfId="1844"/>
    <cellStyle name="_Book2_Sheet1" xfId="1845"/>
    <cellStyle name="_Book3" xfId="55"/>
    <cellStyle name="_BTI Financial forecasts" xfId="56"/>
    <cellStyle name="_Cairo LBO model - Sept 06" xfId="57"/>
    <cellStyle name="_Capex" xfId="1846"/>
    <cellStyle name="_Capex_Book2" xfId="1847"/>
    <cellStyle name="_Capex_Covenants_draft_260412" xfId="1848"/>
    <cellStyle name="_Capex_DRAFT 11" xfId="1849"/>
    <cellStyle name="_Capex_DRAFT 11_Covenants_draft_260412" xfId="1850"/>
    <cellStyle name="_Capex_DRAFT 11_Marketing &amp; Product" xfId="1851"/>
    <cellStyle name="_Capex_Head Office Pack - Draft 1" xfId="1852"/>
    <cellStyle name="_Capex_Head Office Pack - Draft 4" xfId="1853"/>
    <cellStyle name="_Capex_Internal" xfId="1854"/>
    <cellStyle name="_Capex_Internal 1" xfId="1855"/>
    <cellStyle name="_Capex_Internal 1_Projections Pack" xfId="1856"/>
    <cellStyle name="_Capex_Internal 1_Projections Pack (TM)" xfId="1857"/>
    <cellStyle name="_Capex_Internal 1_Quasi Rent Illustration" xfId="1858"/>
    <cellStyle name="_Capex_Internal_Projections Pack" xfId="1859"/>
    <cellStyle name="_Capex_Internal_Projections Pack (TM)" xfId="1860"/>
    <cellStyle name="_Capex_Internal_Quasi Rent Illustration" xfId="1861"/>
    <cellStyle name="_Capex_IT Budget 2011" xfId="1862"/>
    <cellStyle name="_Capex_IT Budget Master 2011 - Draft V2 1 (2)" xfId="1863"/>
    <cellStyle name="_Capex_Net Gain Review Pack - 28th Sept" xfId="1864"/>
    <cellStyle name="_Capex_PAR overlay" xfId="1865"/>
    <cellStyle name="_Capex_PAR overlay_Projections Pack" xfId="1866"/>
    <cellStyle name="_Capex_PAR overlay_Projections Pack (TM)" xfId="1867"/>
    <cellStyle name="_Capex_PAR overlay_Quasi Rent Illustration" xfId="1868"/>
    <cellStyle name="_Capex_Property Budget 2011" xfId="1869"/>
    <cellStyle name="_Capex_Property Budget 2011_Covenants_draft_260412" xfId="1870"/>
    <cellStyle name="_Capex_Property Budget 2011_Marketing &amp; Product" xfId="1871"/>
    <cellStyle name="_Capex_Sceanrio 2 Update - Dec 2nd" xfId="1872"/>
    <cellStyle name="_Capex_Sceanrio 2 Update - Dec 2nd_Projections Pack" xfId="1873"/>
    <cellStyle name="_Capex_Sceanrio 2 Update - Dec 2nd_Projections Pack (TM)" xfId="1874"/>
    <cellStyle name="_Capex_Sceanrio 2 Update - Dec 2nd_Quasi Rent Illustration" xfId="1875"/>
    <cellStyle name="_Capex_Sheet1" xfId="1876"/>
    <cellStyle name="_Capex_YLC" xfId="1877"/>
    <cellStyle name="_Causal" xfId="1878"/>
    <cellStyle name="_Causal_Book2" xfId="1879"/>
    <cellStyle name="_Causal_Covenants_draft_260412" xfId="1880"/>
    <cellStyle name="_Causal_Internal" xfId="1881"/>
    <cellStyle name="_Causal_Internal 1" xfId="1882"/>
    <cellStyle name="_Causal_Internal 1_Projections Pack" xfId="1883"/>
    <cellStyle name="_Causal_Internal 1_Projections Pack (TM)" xfId="1884"/>
    <cellStyle name="_Causal_Internal 1_Quasi Rent Illustration" xfId="1885"/>
    <cellStyle name="_Causal_Internal_Projections Pack" xfId="1886"/>
    <cellStyle name="_Causal_Internal_Projections Pack (TM)" xfId="1887"/>
    <cellStyle name="_Causal_Internal_Quasi Rent Illustration" xfId="1888"/>
    <cellStyle name="_Causal_Marketing &amp; Product" xfId="1889"/>
    <cellStyle name="_Causal_Net Gain Review Pack - 28th Sept" xfId="1890"/>
    <cellStyle name="_Causal_PAR overlay" xfId="1891"/>
    <cellStyle name="_Causal_PAR overlay_Projections Pack" xfId="1892"/>
    <cellStyle name="_Causal_PAR overlay_Projections Pack (TM)" xfId="1893"/>
    <cellStyle name="_Causal_PAR overlay_Quasi Rent Illustration" xfId="1894"/>
    <cellStyle name="_Causal_Sceanrio 2 Update - Dec 2nd" xfId="1895"/>
    <cellStyle name="_Causal_Sceanrio 2 Update - Dec 2nd_Projections Pack" xfId="1896"/>
    <cellStyle name="_Causal_Sceanrio 2 Update - Dec 2nd_Projections Pack (TM)" xfId="1897"/>
    <cellStyle name="_Causal_Sceanrio 2 Update - Dec 2nd_Quasi Rent Illustration" xfId="1898"/>
    <cellStyle name="_Causal_Sheet1" xfId="1899"/>
    <cellStyle name="_Causal_YLC" xfId="1900"/>
    <cellStyle name="_ClearFormat 4" xfId="3626"/>
    <cellStyle name="_Club summary_v06_140507" xfId="1901"/>
    <cellStyle name="_Club summary_v06_140507_Book2" xfId="1902"/>
    <cellStyle name="_Club summary_v06_140507_Covenants_draft_260412" xfId="1903"/>
    <cellStyle name="_Club summary_v06_140507_DRAFT 11" xfId="1904"/>
    <cellStyle name="_Club summary_v06_140507_DRAFT 11_Covenants_draft_260412" xfId="1905"/>
    <cellStyle name="_Club summary_v06_140507_DRAFT 11_Marketing &amp; Product" xfId="1906"/>
    <cellStyle name="_Club summary_v06_140507_Head Office Pack - Draft 1" xfId="1907"/>
    <cellStyle name="_Club summary_v06_140507_Head Office Pack - Draft 4" xfId="1908"/>
    <cellStyle name="_Club summary_v06_140507_Internal" xfId="1909"/>
    <cellStyle name="_Club summary_v06_140507_Internal 1" xfId="1910"/>
    <cellStyle name="_Club summary_v06_140507_Internal 1_Projections Pack" xfId="1911"/>
    <cellStyle name="_Club summary_v06_140507_Internal 1_Projections Pack (TM)" xfId="1912"/>
    <cellStyle name="_Club summary_v06_140507_Internal 1_Quasi Rent Illustration" xfId="1913"/>
    <cellStyle name="_Club summary_v06_140507_Internal_Projections Pack" xfId="1914"/>
    <cellStyle name="_Club summary_v06_140507_Internal_Projections Pack (TM)" xfId="1915"/>
    <cellStyle name="_Club summary_v06_140507_Internal_Quasi Rent Illustration" xfId="1916"/>
    <cellStyle name="_Club summary_v06_140507_IT Budget 2011" xfId="1917"/>
    <cellStyle name="_Club summary_v06_140507_IT Budget Master 2011 - Draft V2 1 (2)" xfId="1918"/>
    <cellStyle name="_Club summary_v06_140507_Net Gain Review Pack - 28th Sept" xfId="1919"/>
    <cellStyle name="_Club summary_v06_140507_PAR overlay" xfId="1920"/>
    <cellStyle name="_Club summary_v06_140507_PAR overlay_Projections Pack" xfId="1921"/>
    <cellStyle name="_Club summary_v06_140507_PAR overlay_Projections Pack (TM)" xfId="1922"/>
    <cellStyle name="_Club summary_v06_140507_PAR overlay_Quasi Rent Illustration" xfId="1923"/>
    <cellStyle name="_Club summary_v06_140507_Property Budget 2011" xfId="1924"/>
    <cellStyle name="_Club summary_v06_140507_Property Budget 2011_Covenants_draft_260412" xfId="1925"/>
    <cellStyle name="_Club summary_v06_140507_Property Budget 2011_Marketing &amp; Product" xfId="1926"/>
    <cellStyle name="_Club summary_v06_140507_Sceanrio 2 Update - Dec 2nd" xfId="1927"/>
    <cellStyle name="_Club summary_v06_140507_Sceanrio 2 Update - Dec 2nd_Projections Pack" xfId="1928"/>
    <cellStyle name="_Club summary_v06_140507_Sceanrio 2 Update - Dec 2nd_Projections Pack (TM)" xfId="1929"/>
    <cellStyle name="_Club summary_v06_140507_Sceanrio 2 Update - Dec 2nd_Quasi Rent Illustration" xfId="1930"/>
    <cellStyle name="_Club summary_v06_140507_Sheet1" xfId="1931"/>
    <cellStyle name="_Club summary_v06_140507_YLC" xfId="1932"/>
    <cellStyle name="_Column1" xfId="58"/>
    <cellStyle name="_Column1_Balance Sheet_restl. Eurowährungsl._Gruppe" xfId="59"/>
    <cellStyle name="_Column1_Bank case Viking (sent to JPM 10 Nov 05)" xfId="60"/>
    <cellStyle name="_Column1_Banks (2)" xfId="61"/>
    <cellStyle name="_Column1_Book2" xfId="1933"/>
    <cellStyle name="_Column1_Covenants_draft_260412" xfId="1934"/>
    <cellStyle name="_Column1_DRAFT 11" xfId="1935"/>
    <cellStyle name="_Column1_DRAFT 11_Covenants_draft_260412" xfId="1936"/>
    <cellStyle name="_Column1_DRAFT 11_Marketing &amp; Product" xfId="1937"/>
    <cellStyle name="_Column1_EBITDA-Recon P&amp;L OPSP04-08_GX" xfId="62"/>
    <cellStyle name="_Column1_Feeder" xfId="63"/>
    <cellStyle name="_Column1_Financial ratios_Euroland" xfId="64"/>
    <cellStyle name="_Column1_GX evaluation without pensions" xfId="65"/>
    <cellStyle name="_Column1_GX OPSP0509 incl. Zurückdrehen Subsidies NVM" xfId="66"/>
    <cellStyle name="_Column1_GX Plan" xfId="67"/>
    <cellStyle name="_Column1_Head Office Pack - Draft 1" xfId="1938"/>
    <cellStyle name="_Column1_Head Office Pack - Draft 4" xfId="1939"/>
    <cellStyle name="_Column1_Headcount" xfId="68"/>
    <cellStyle name="_Column1_Headcount_Monthly report" xfId="69"/>
    <cellStyle name="_Column1_Internal" xfId="1940"/>
    <cellStyle name="_Column1_Internal 1" xfId="1941"/>
    <cellStyle name="_Column1_Internal 1_Projections Pack" xfId="1942"/>
    <cellStyle name="_Column1_Internal 1_Projections Pack (TM)" xfId="1943"/>
    <cellStyle name="_Column1_Internal 1_Quasi Rent Illustration" xfId="1944"/>
    <cellStyle name="_Column1_Internal_Projections Pack" xfId="1945"/>
    <cellStyle name="_Column1_Internal_Projections Pack (TM)" xfId="1946"/>
    <cellStyle name="_Column1_Internal_Quasi Rent Illustration" xfId="1947"/>
    <cellStyle name="_Column1_IT Budget 2011" xfId="1948"/>
    <cellStyle name="_Column1_IT Budget Master 2011 - Draft V2 1 (2)" xfId="1949"/>
    <cellStyle name="_Column1_LTMJUN02" xfId="70"/>
    <cellStyle name="_Column1_M&amp;A Model" xfId="71"/>
    <cellStyle name="_Column1_M&amp;A projections" xfId="72"/>
    <cellStyle name="_Column1_MIS Reporting_Budget_JD" xfId="73"/>
    <cellStyle name="_Column1_Net Gain Review Pack - 28th Sept" xfId="1950"/>
    <cellStyle name="_Column1_New Gerresheimer bank plan (sent to JPM 26 Nov 05)" xfId="74"/>
    <cellStyle name="_Column1_P&amp;L bank model - received from Gerresheimer 1 12 05" xfId="75"/>
    <cellStyle name="_Column1_PAR overlay" xfId="1951"/>
    <cellStyle name="_Column1_PAR overlay_Projections Pack" xfId="1952"/>
    <cellStyle name="_Column1_PAR overlay_Projections Pack (TM)" xfId="1953"/>
    <cellStyle name="_Column1_PAR overlay_Quasi Rent Illustration" xfId="1954"/>
    <cellStyle name="_Column1_Plan model" xfId="76"/>
    <cellStyle name="_Column1_Property Budget 2011" xfId="1955"/>
    <cellStyle name="_Column1_Property Budget 2011_Covenants_draft_260412" xfId="1956"/>
    <cellStyle name="_Column1_Property Budget 2011_Marketing &amp; Product" xfId="1957"/>
    <cellStyle name="_Column1_Quarterly" xfId="77"/>
    <cellStyle name="_Column1_Sceanrio 2 Update - Dec 2nd" xfId="1958"/>
    <cellStyle name="_Column1_Sceanrio 2 Update - Dec 2nd_Projections Pack" xfId="1959"/>
    <cellStyle name="_Column1_Sceanrio 2 Update - Dec 2nd_Projections Pack (TM)" xfId="1960"/>
    <cellStyle name="_Column1_Sceanrio 2 Update - Dec 2nd_Quasi Rent Illustration" xfId="1961"/>
    <cellStyle name="_Column1_Sheet1" xfId="1962"/>
    <cellStyle name="_Column1_Tabelle1" xfId="78"/>
    <cellStyle name="_Column1_TSG2" xfId="79"/>
    <cellStyle name="_Column1_Update 2004 Figures v2 (sent to banks)" xfId="80"/>
    <cellStyle name="_Column1_WC benchmark Calc" xfId="81"/>
    <cellStyle name="_Column1_YLC" xfId="1963"/>
    <cellStyle name="_Column1_Zins und Bankschuldenberechnung_03_07" xfId="82"/>
    <cellStyle name="_Column2" xfId="83"/>
    <cellStyle name="_Column2_051003 Viking Business plan" xfId="84"/>
    <cellStyle name="_Column2_051004 Viking Business plan10" xfId="85"/>
    <cellStyle name="_Column2_Bank case Viking (sent to JPM 10 Nov 05)" xfId="86"/>
    <cellStyle name="_Column2_Cost Price Assumptions OPSP0509 vs OPSP0610" xfId="87"/>
    <cellStyle name="_Column2_Feeder" xfId="88"/>
    <cellStyle name="_Column2_FY 2005-2009 OP-SP Update (11-Oct-04)" xfId="89"/>
    <cellStyle name="_Column2_Key assumptions GX companies" xfId="90"/>
    <cellStyle name="_Column2_M&amp;A Model" xfId="91"/>
    <cellStyle name="_Column2_M&amp;A projections" xfId="92"/>
    <cellStyle name="_Column2_Mappe2" xfId="93"/>
    <cellStyle name="_Column2_MIS Reporting_Budget_OPSP 06-10" xfId="94"/>
    <cellStyle name="_Column2_TSG2" xfId="95"/>
    <cellStyle name="_Column3" xfId="96"/>
    <cellStyle name="_Column3_051003 Viking Business plan" xfId="97"/>
    <cellStyle name="_Column3_051004 Viking Business plan10" xfId="98"/>
    <cellStyle name="_Column3_Bank case Viking (sent to JPM 10 Nov 05)" xfId="99"/>
    <cellStyle name="_Column3_Cost Price Assumptions OPSP0509 vs OPSP0610" xfId="100"/>
    <cellStyle name="_Column3_Feeder" xfId="101"/>
    <cellStyle name="_Column3_FY 2005-2009 OP-SP Update (11-Oct-04)" xfId="102"/>
    <cellStyle name="_Column3_Key assumptions GX companies" xfId="103"/>
    <cellStyle name="_Column3_M&amp;A Model" xfId="104"/>
    <cellStyle name="_Column3_M&amp;A projections" xfId="105"/>
    <cellStyle name="_Column3_Mappe2" xfId="106"/>
    <cellStyle name="_Column3_MIS Reporting_Budget_OPSP 06-10" xfId="107"/>
    <cellStyle name="_Column3_TSG2" xfId="108"/>
    <cellStyle name="_Column4" xfId="109"/>
    <cellStyle name="_Column4_051003 Viking Business plan" xfId="110"/>
    <cellStyle name="_Column4_051004 Viking Business plan10" xfId="111"/>
    <cellStyle name="_Column4_3.P&amp;L" xfId="1964"/>
    <cellStyle name="_Column4_Balance Sheet_restl. Eurowährungsl._Gruppe" xfId="112"/>
    <cellStyle name="_Column4_Bank case Viking (sent to JPM 10 Nov 05)" xfId="113"/>
    <cellStyle name="_Column4_Book2" xfId="1965"/>
    <cellStyle name="_Column4_Cost Price Assumptions OPSP0509 vs OPSP0610" xfId="114"/>
    <cellStyle name="_Column4_Covenants_draft_260412" xfId="1966"/>
    <cellStyle name="_Column4_DRAFT 11" xfId="1967"/>
    <cellStyle name="_Column4_DRAFT 11_Covenants_draft_260412" xfId="1968"/>
    <cellStyle name="_Column4_DRAFT 11_Marketing &amp; Product" xfId="1969"/>
    <cellStyle name="_Column4_Feeder" xfId="115"/>
    <cellStyle name="_Column4_FY 2005-2009 OP-SP Update (11-Oct-04)" xfId="116"/>
    <cellStyle name="_Column4_Head Office Pack - Draft 1" xfId="1970"/>
    <cellStyle name="_Column4_Head Office Pack - Draft 4" xfId="1971"/>
    <cellStyle name="_Column4_Key assumptions GX companies" xfId="117"/>
    <cellStyle name="_Column4_Konsolidierungsbeträge" xfId="118"/>
    <cellStyle name="_Column4_M&amp;A Model" xfId="119"/>
    <cellStyle name="_Column4_M&amp;A projections" xfId="120"/>
    <cellStyle name="_Column4_Mappe2" xfId="121"/>
    <cellStyle name="_Column4_MIS Reporting_Budget_OPSP 06-10" xfId="122"/>
    <cellStyle name="_Column4_PAR overlay" xfId="1972"/>
    <cellStyle name="_Column4_PAR overlay_Projections Pack" xfId="1973"/>
    <cellStyle name="_Column4_PAR overlay_Projections Pack (TM)" xfId="1974"/>
    <cellStyle name="_Column4_PAR overlay_Quasi Rent Illustration" xfId="1975"/>
    <cellStyle name="_Column4_Property Budget 2011" xfId="1976"/>
    <cellStyle name="_Column4_Property Budget 2011_Covenants_draft_260412" xfId="1977"/>
    <cellStyle name="_Column4_Property Budget 2011_Marketing &amp; Product" xfId="1978"/>
    <cellStyle name="_Column4_Sheet1" xfId="1979"/>
    <cellStyle name="_Column4_TSG2" xfId="123"/>
    <cellStyle name="_Column4_YLC" xfId="1980"/>
    <cellStyle name="_Column5" xfId="124"/>
    <cellStyle name="_Column5_051003 Viking Business plan" xfId="125"/>
    <cellStyle name="_Column5_051004 Viking Business plan10" xfId="126"/>
    <cellStyle name="_Column5_Bank case Viking (sent to JPM 10 Nov 05)" xfId="127"/>
    <cellStyle name="_Column5_Cost Price Assumptions OPSP0509 vs OPSP0610" xfId="128"/>
    <cellStyle name="_Column5_Feeder" xfId="129"/>
    <cellStyle name="_Column5_FY 2005-2009 OP-SP Update (11-Oct-04)" xfId="130"/>
    <cellStyle name="_Column5_Key assumptions GX companies" xfId="131"/>
    <cellStyle name="_Column5_Konsolidierungsbeträge" xfId="132"/>
    <cellStyle name="_Column5_M&amp;A Model" xfId="133"/>
    <cellStyle name="_Column5_M&amp;A projections" xfId="134"/>
    <cellStyle name="_Column5_Mappe2" xfId="135"/>
    <cellStyle name="_Column5_MIS Reporting_Budget_OPSP 06-10" xfId="136"/>
    <cellStyle name="_Column5_TSG2" xfId="137"/>
    <cellStyle name="_Column6" xfId="138"/>
    <cellStyle name="_Column6_051003 Viking Business plan" xfId="139"/>
    <cellStyle name="_Column6_051004 Viking Business plan10" xfId="140"/>
    <cellStyle name="_Column6_Bank case Viking (sent to JPM 10 Nov 05)" xfId="141"/>
    <cellStyle name="_Column6_Cost Price Assumptions OPSP0509 vs OPSP0610" xfId="142"/>
    <cellStyle name="_Column6_Feeder" xfId="143"/>
    <cellStyle name="_Column6_FY 2005-2009 OP-SP Update (11-Oct-04)" xfId="144"/>
    <cellStyle name="_Column6_Key assumptions GX companies" xfId="145"/>
    <cellStyle name="_Column6_M&amp;A Model" xfId="146"/>
    <cellStyle name="_Column6_M&amp;A projections" xfId="147"/>
    <cellStyle name="_Column6_Mappe2" xfId="148"/>
    <cellStyle name="_Column6_MIS Reporting_Budget_OPSP 06-10" xfId="149"/>
    <cellStyle name="_Column6_TSG2" xfId="150"/>
    <cellStyle name="_Column7" xfId="151"/>
    <cellStyle name="_Column7_051003 Viking Business plan" xfId="152"/>
    <cellStyle name="_Column7_051004 Viking Business plan10" xfId="153"/>
    <cellStyle name="_Column7_3. Version 4 Bank" xfId="1981"/>
    <cellStyle name="_Column7_3. Version 4 Bank new segments" xfId="1982"/>
    <cellStyle name="_Column7_4. Version 4 Bank new segments with rollout" xfId="1983"/>
    <cellStyle name="_Column7_4. Version 4 Bank with Rollout" xfId="1984"/>
    <cellStyle name="_Column7_Balance Sheet_restl. Eurowährungsl._Gruppe" xfId="154"/>
    <cellStyle name="_Column7_Bank case Viking (sent to JPM 10 Nov 05)" xfId="155"/>
    <cellStyle name="_Column7_Cost Price Assumptions OPSP0509 vs OPSP0610" xfId="156"/>
    <cellStyle name="_Column7_Feeder" xfId="157"/>
    <cellStyle name="_Column7_FY 2005-2009 OP-SP Update (11-Oct-04)" xfId="158"/>
    <cellStyle name="_Column7_Key assumptions GX companies" xfId="159"/>
    <cellStyle name="_Column7_M&amp;A Model" xfId="160"/>
    <cellStyle name="_Column7_M&amp;A projections" xfId="161"/>
    <cellStyle name="_Column7_Mappe2" xfId="162"/>
    <cellStyle name="_Column7_MIS Reporting_Budget_OPSP 06-10" xfId="163"/>
    <cellStyle name="_Column7_PAR overlay" xfId="1985"/>
    <cellStyle name="_Column7_TSG2" xfId="164"/>
    <cellStyle name="_Column7_UBS Model" xfId="1986"/>
    <cellStyle name="_Column7_UBS Model - upside model" xfId="1987"/>
    <cellStyle name="_Column8" xfId="165"/>
    <cellStyle name="_Column8_021202External Sales 2000_2001_DA_feste Werte" xfId="166"/>
    <cellStyle name="_Column8_Balance Sheet_restl. Eurowährungsl._Gruppe" xfId="167"/>
    <cellStyle name="_Column8_Konsolidierungsbeträge" xfId="168"/>
    <cellStyle name="_Comma" xfId="169"/>
    <cellStyle name="_Comma 2 3" xfId="3624"/>
    <cellStyle name="_Comma_Betas" xfId="170"/>
    <cellStyle name="_Comma_Betas as of 18-Apr-20022" xfId="171"/>
    <cellStyle name="_Comma_Draft funds flow - 7 June 2005" xfId="2312"/>
    <cellStyle name="_Comma_EXPN" xfId="172"/>
    <cellStyle name="_Comma_MD 1 model_blank_Augustin" xfId="173"/>
    <cellStyle name="_Comma_Offering Breakdown - 09-Jun -2005" xfId="2313"/>
    <cellStyle name="_Comma_Offering Breakdown - 09-Jun -2005 updated" xfId="2314"/>
    <cellStyle name="_Comma_Offering Breakdown - 19-Jun -2005 updated" xfId="2315"/>
    <cellStyle name="_Crown Holdings  - LBO Model 1.8 covenants_3 Aug" xfId="174"/>
    <cellStyle name="_Currency" xfId="175"/>
    <cellStyle name="_Currency 4" xfId="3630"/>
    <cellStyle name="_Currency_Betas" xfId="176"/>
    <cellStyle name="_Currency_Betas as of 18-Apr-20022" xfId="177"/>
    <cellStyle name="_Currency_Draft funds flow - 7 June 2005" xfId="2316"/>
    <cellStyle name="_Currency_EXPN" xfId="178"/>
    <cellStyle name="_Currency_MD 1 model_blank_Augustin" xfId="179"/>
    <cellStyle name="_Currency_Offering Breakdown - 09-Jun -2005" xfId="2317"/>
    <cellStyle name="_Currency_Offering Breakdown - 09-Jun -2005 updated" xfId="2318"/>
    <cellStyle name="_Currency_Offering Breakdown - 19-Jun -2005 updated" xfId="2319"/>
    <cellStyle name="_Currency_pi5" xfId="2320"/>
    <cellStyle name="_Currency_surbid4 cloture" xfId="2321"/>
    <cellStyle name="_Currency_surbid4 cloture_1" xfId="2322"/>
    <cellStyle name="_Currency_temp templates2" xfId="180"/>
    <cellStyle name="_Currency_tropicos5" xfId="2323"/>
    <cellStyle name="_Currency_tropicos5_victoria 6nov01" xfId="2324"/>
    <cellStyle name="_Currency_voice1.xls Chart 1" xfId="2325"/>
    <cellStyle name="_Currency_voice1.xls Chart 1_victoria 6nov01" xfId="2326"/>
    <cellStyle name="_Currency_wacc" xfId="2327"/>
    <cellStyle name="_Currency_wacc bb final" xfId="181"/>
    <cellStyle name="_CurrencySpace" xfId="182"/>
    <cellStyle name="_CurrencySpace_Betas" xfId="183"/>
    <cellStyle name="_CurrencySpace_Betas as of 18-Apr-20022" xfId="184"/>
    <cellStyle name="_CurrencySpace_Draft funds flow - 7 June 2005" xfId="2328"/>
    <cellStyle name="_CurrencySpace_EXPN" xfId="185"/>
    <cellStyle name="_CurrencySpace_MD 1 model_blank_Augustin" xfId="186"/>
    <cellStyle name="_CurrencySpace_Offering Breakdown - 09-Jun -2005" xfId="2329"/>
    <cellStyle name="_CurrencySpace_Offering Breakdown - 09-Jun -2005 updated" xfId="2330"/>
    <cellStyle name="_CurrencySpace_Offering Breakdown - 19-Jun -2005 updated" xfId="2331"/>
    <cellStyle name="_CurrencySpace_sonera - 26july2001" xfId="2332"/>
    <cellStyle name="_CurrencySpace_Sonera - april01" xfId="2333"/>
    <cellStyle name="_CurrencySpace_stahl_dcf+lbo_FINAL MODEL USED FOR FAIRNESS MEETING 5 Dec 2001" xfId="2334"/>
    <cellStyle name="_CurrencySpace_stahl_dcf+lbo_revised fins" xfId="2335"/>
    <cellStyle name="_CurrencySpace_VMS Breakdown" xfId="2336"/>
    <cellStyle name="_CurrencySpace_WACC Page" xfId="2337"/>
    <cellStyle name="_CurrencySpace_Wacc V2" xfId="2338"/>
    <cellStyle name="_Data" xfId="187"/>
    <cellStyle name="_Data_Aurora LBO v25" xfId="188"/>
    <cellStyle name="_Data_Balance Sheet_restl. Eurowährungsl._Gruppe" xfId="189"/>
    <cellStyle name="_Data_Bank case Viking (sent to JPM 10 Nov 05)" xfId="190"/>
    <cellStyle name="_Data_Banks (2)" xfId="191"/>
    <cellStyle name="_Data_EBITDA-Recon P&amp;L OPSP04-08_GX" xfId="192"/>
    <cellStyle name="_Data_Feeder" xfId="193"/>
    <cellStyle name="_Data_Financial ratios_Euroland" xfId="194"/>
    <cellStyle name="_Data_GX evaluation without pensions" xfId="195"/>
    <cellStyle name="_Data_GX OPSP0509 incl. Zurückdrehen Subsidies NVM" xfId="196"/>
    <cellStyle name="_Data_GX Plan" xfId="197"/>
    <cellStyle name="_Data_Headcount" xfId="198"/>
    <cellStyle name="_Data_Headcount_Monthly report" xfId="199"/>
    <cellStyle name="_Data_LTMJUN02" xfId="200"/>
    <cellStyle name="_Data_M&amp;A Model" xfId="201"/>
    <cellStyle name="_Data_M&amp;A projections" xfId="202"/>
    <cellStyle name="_Data_MIS Reporting_Budget_JD" xfId="203"/>
    <cellStyle name="_Data_New Gerresheimer bank plan (sent to JPM 26 Nov 05)" xfId="204"/>
    <cellStyle name="_Data_P&amp;L bank model - received from Gerresheimer 1 12 05" xfId="205"/>
    <cellStyle name="_Data_Plan model" xfId="206"/>
    <cellStyle name="_Data_Quarterly" xfId="207"/>
    <cellStyle name="_Data_Tabelle1" xfId="208"/>
    <cellStyle name="_Data_TSG2" xfId="209"/>
    <cellStyle name="_Data_Update 2004 Figures v2 (sent to banks)" xfId="210"/>
    <cellStyle name="_Data_WC benchmark Calc" xfId="211"/>
    <cellStyle name="_Data_Zins und Bankschuldenberechnung_03_07" xfId="212"/>
    <cellStyle name="_Dec Exec Pack" xfId="1988"/>
    <cellStyle name="_Dec Exec Pack_Covenants_draft_260412" xfId="1989"/>
    <cellStyle name="_Dec Exec Pack_Head Office Pack - Draft 1" xfId="1990"/>
    <cellStyle name="_Dec Exec Pack_Head Office Pack - Draft 4" xfId="1991"/>
    <cellStyle name="_Dec Exec Pack_Property Budget 2011" xfId="1992"/>
    <cellStyle name="_Dec Exec Pack_Property Budget 2011_Covenants_draft_260412" xfId="1993"/>
    <cellStyle name="_Dec Exec Pack_Property Budget 2011_Marketing &amp; Product" xfId="1994"/>
    <cellStyle name="_Dec Exec Pack_Sheet1" xfId="1995"/>
    <cellStyle name="_Detailed Analysis" xfId="1996"/>
    <cellStyle name="_Detailed P&amp;L's" xfId="1997"/>
    <cellStyle name="_Dollar" xfId="2339"/>
    <cellStyle name="_Dollar_AVP Lucia excl. Assoc" xfId="2340"/>
    <cellStyle name="_Dollar_Benchmarking analysis" xfId="2341"/>
    <cellStyle name="_Dollar_Clementine revenue model-v10" xfId="2342"/>
    <cellStyle name="_Dollar_Clementine revenue model-v5" xfId="2343"/>
    <cellStyle name="_Dollar_liberate fact sheet" xfId="2344"/>
    <cellStyle name="_Dollar_New Sonera 4" xfId="2345"/>
    <cellStyle name="_Dollar_Pro-forma financials &amp; merger plan - 5 march 02" xfId="2346"/>
    <cellStyle name="_Dollar_sonera - 26july2001" xfId="2347"/>
    <cellStyle name="_Dollar_Sonera - april01" xfId="2348"/>
    <cellStyle name="_Dollar_T_MOBIL2" xfId="2349"/>
    <cellStyle name="_Dollar_Turkcell6" xfId="2350"/>
    <cellStyle name="_Dollar_Value Creation Analysis" xfId="2351"/>
    <cellStyle name="_Dollar_Versatel1" xfId="2352"/>
    <cellStyle name="_Draft 1 - 26th November" xfId="1998"/>
    <cellStyle name="_Draft 1 - 29th September rv" xfId="1999"/>
    <cellStyle name="—_EM-HTI" xfId="2353"/>
    <cellStyle name="—_EM-HTI_CSC May 20" xfId="2354"/>
    <cellStyle name="—_EM-KT" xfId="2355"/>
    <cellStyle name="—_EM-KT_03 CSC May 20" xfId="2356"/>
    <cellStyle name="—_EM-KT_CSC May 20" xfId="2357"/>
    <cellStyle name="—_EM-KT_Global Wireless1" xfId="2358"/>
    <cellStyle name="—_EM-SKTelecom_old" xfId="2359"/>
    <cellStyle name="—_EM-SKTelecom_old_03 CSC May 20" xfId="2360"/>
    <cellStyle name="—_EM-SKTelecom_old_CSC May 20" xfId="2361"/>
    <cellStyle name="—_EM-SKTelecom_old_EM-HTI" xfId="2362"/>
    <cellStyle name="—_EM-SKTelecom_old_EM-HTI_CSC May 20" xfId="2363"/>
    <cellStyle name="—_EM-SKTelecom_old_Global Wireless1" xfId="2364"/>
    <cellStyle name="_Entry Point" xfId="2000"/>
    <cellStyle name="_e-plus debt - Machado1" xfId="2365"/>
    <cellStyle name="_Euro" xfId="213"/>
    <cellStyle name="_Euro Pack" xfId="2001"/>
    <cellStyle name="_Euro Pack_Covenants_draft_260412" xfId="2002"/>
    <cellStyle name="_Euro Pack_Head Office Pack - Draft 1" xfId="2003"/>
    <cellStyle name="_Euro Pack_Head Office Pack - Draft 4" xfId="2004"/>
    <cellStyle name="_Euro Pack_Property Budget 2011" xfId="2005"/>
    <cellStyle name="_Euro Pack_Property Budget 2011_Covenants_draft_260412" xfId="2006"/>
    <cellStyle name="_Euro Pack_Property Budget 2011_Marketing &amp; Product" xfId="2007"/>
    <cellStyle name="_Euro Pack_Sheet1" xfId="2008"/>
    <cellStyle name="_Euro_01research_benchmark" xfId="2366"/>
    <cellStyle name="_Euro_02 CSC Thomson - 26 may" xfId="2367"/>
    <cellStyle name="_Euro_03 CSC 28-Oct-02" xfId="2368"/>
    <cellStyle name="_Euro_CSC July 24" xfId="2369"/>
    <cellStyle name="_Euro_EXPN" xfId="214"/>
    <cellStyle name="_Euro_Wacc V2" xfId="2370"/>
    <cellStyle name="_Europe RD Pack P3" xfId="2009"/>
    <cellStyle name="_Exec Overview" xfId="2010"/>
    <cellStyle name="_Exec Overview_Book2" xfId="2011"/>
    <cellStyle name="_Exec Overview_Covenants_draft_260412" xfId="2012"/>
    <cellStyle name="_Exec Overview_Internal" xfId="2013"/>
    <cellStyle name="_Exec Overview_Internal 1" xfId="2014"/>
    <cellStyle name="_Exec Overview_Internal 1_Projections Pack" xfId="2015"/>
    <cellStyle name="_Exec Overview_Internal 1_Projections Pack (TM)" xfId="2016"/>
    <cellStyle name="_Exec Overview_Internal 1_Quasi Rent Illustration" xfId="2017"/>
    <cellStyle name="_Exec Overview_Internal_Projections Pack" xfId="2018"/>
    <cellStyle name="_Exec Overview_Internal_Projections Pack (TM)" xfId="2019"/>
    <cellStyle name="_Exec Overview_Internal_Quasi Rent Illustration" xfId="2020"/>
    <cellStyle name="_Exec Overview_Marketing &amp; Product" xfId="2021"/>
    <cellStyle name="_Exec Overview_Net Gain Review Pack - 28th Sept" xfId="2022"/>
    <cellStyle name="_Exec Overview_PAR overlay" xfId="2023"/>
    <cellStyle name="_Exec Overview_PAR overlay_Projections Pack" xfId="2024"/>
    <cellStyle name="_Exec Overview_PAR overlay_Projections Pack (TM)" xfId="2025"/>
    <cellStyle name="_Exec Overview_PAR overlay_Quasi Rent Illustration" xfId="2026"/>
    <cellStyle name="_Exec Overview_Sceanrio 2 Update - Dec 2nd" xfId="2027"/>
    <cellStyle name="_Exec Overview_Sceanrio 2 Update - Dec 2nd_Projections Pack" xfId="2028"/>
    <cellStyle name="_Exec Overview_Sceanrio 2 Update - Dec 2nd_Projections Pack (TM)" xfId="2029"/>
    <cellStyle name="_Exec Overview_Sceanrio 2 Update - Dec 2nd_Quasi Rent Illustration" xfId="2030"/>
    <cellStyle name="_Exec Overview_Sheet1" xfId="2031"/>
    <cellStyle name="_Exec Overview_YLC" xfId="2032"/>
    <cellStyle name="_Exec pack post Jason Smith Changes" xfId="2033"/>
    <cellStyle name="_Exec pack post Jason Smith Changes_Covenants_draft_260412" xfId="2034"/>
    <cellStyle name="_Exec pack post Jason Smith Changes_Head Office Pack - Draft 1" xfId="2035"/>
    <cellStyle name="_Exec pack post Jason Smith Changes_Head Office Pack - Draft 4" xfId="2036"/>
    <cellStyle name="_Exec pack post Jason Smith Changes_Property Budget 2011" xfId="2037"/>
    <cellStyle name="_Exec pack post Jason Smith Changes_Property Budget 2011_Covenants_draft_260412" xfId="2038"/>
    <cellStyle name="_Exec pack post Jason Smith Changes_Property Budget 2011_Marketing &amp; Product" xfId="2039"/>
    <cellStyle name="_Exec pack post Jason Smith Changes_Sheet1" xfId="2040"/>
    <cellStyle name="_Exec Performance Pack" xfId="2041"/>
    <cellStyle name="_EXPN" xfId="215"/>
    <cellStyle name="_final pricing DLLNG Dec 14 2007" xfId="2042"/>
    <cellStyle name="_FINAL RISKS AND OPS" xfId="2043"/>
    <cellStyle name="_FINAL RISKS AND OPS_Book2" xfId="2044"/>
    <cellStyle name="_FINAL RISKS AND OPS_Covenants_draft_260412" xfId="2045"/>
    <cellStyle name="_FINAL RISKS AND OPS_Internal" xfId="2046"/>
    <cellStyle name="_FINAL RISKS AND OPS_Internal 1" xfId="2047"/>
    <cellStyle name="_FINAL RISKS AND OPS_Internal 1_Projections Pack" xfId="2048"/>
    <cellStyle name="_FINAL RISKS AND OPS_Internal 1_Projections Pack (TM)" xfId="2049"/>
    <cellStyle name="_FINAL RISKS AND OPS_Internal 1_Quasi Rent Illustration" xfId="2050"/>
    <cellStyle name="_FINAL RISKS AND OPS_Internal_Projections Pack" xfId="2051"/>
    <cellStyle name="_FINAL RISKS AND OPS_Internal_Projections Pack (TM)" xfId="2052"/>
    <cellStyle name="_FINAL RISKS AND OPS_Internal_Quasi Rent Illustration" xfId="2053"/>
    <cellStyle name="_FINAL RISKS AND OPS_Marketing &amp; Product" xfId="2054"/>
    <cellStyle name="_FINAL RISKS AND OPS_Net Gain Review Pack - 28th Sept" xfId="2055"/>
    <cellStyle name="_FINAL RISKS AND OPS_PAR overlay" xfId="2056"/>
    <cellStyle name="_FINAL RISKS AND OPS_PAR overlay_Projections Pack" xfId="2057"/>
    <cellStyle name="_FINAL RISKS AND OPS_PAR overlay_Projections Pack (TM)" xfId="2058"/>
    <cellStyle name="_FINAL RISKS AND OPS_PAR overlay_Quasi Rent Illustration" xfId="2059"/>
    <cellStyle name="_FINAL RISKS AND OPS_Sceanrio 2 Update - Dec 2nd" xfId="2060"/>
    <cellStyle name="_FINAL RISKS AND OPS_Sceanrio 2 Update - Dec 2nd_Projections Pack" xfId="2061"/>
    <cellStyle name="_FINAL RISKS AND OPS_Sceanrio 2 Update - Dec 2nd_Projections Pack (TM)" xfId="2062"/>
    <cellStyle name="_FINAL RISKS AND OPS_Sceanrio 2 Update - Dec 2nd_Quasi Rent Illustration" xfId="2063"/>
    <cellStyle name="_FINAL RISKS AND OPS_Sheet1" xfId="2064"/>
    <cellStyle name="_FINAL RISKS AND OPS_YLC" xfId="2065"/>
    <cellStyle name="_Fosters_fins" xfId="216"/>
    <cellStyle name="_George - LBO Model 3.1" xfId="217"/>
    <cellStyle name="_gerresheimer_currentv5" xfId="218"/>
    <cellStyle name="—_Global Wireless1" xfId="2371"/>
    <cellStyle name="—_Global Wireless1_03 CSC May 20" xfId="2372"/>
    <cellStyle name="—_Global Wireless1_03 CSC May 20_03_ Clean LBO Model" xfId="2373"/>
    <cellStyle name="—_Global Wireless1_03 CSC May 20_05_ Clean LBO Model" xfId="2374"/>
    <cellStyle name="—_Global Wireless1_03 CSC May 20_08 Valuation Model incl. new BP" xfId="2375"/>
    <cellStyle name="—_Global Wireless1_03 CSC May 20_09 Valuation Model incl. new BP" xfId="2376"/>
    <cellStyle name="—_Global Wireless1_03 CSC May 20_13 Valuation Model incl. new BP" xfId="2377"/>
    <cellStyle name="—_Global Wireless1_03 CSC May 20_14 Valuation Model incl. new BP" xfId="2378"/>
    <cellStyle name="—_Global Wireless1_03 CSC May 20_15_ Clean LBO Model" xfId="2379"/>
    <cellStyle name="—_Global Wireless1_03 CSC May 20_20 Valuation Model incl. new BP" xfId="2380"/>
    <cellStyle name="—_Global Wireless1_03 CSC May 20_25 Valuation Model incl. new BP" xfId="2381"/>
    <cellStyle name="—_Global Wireless1_03 CSC May 20_33 Valuation Model incl. new BP" xfId="2382"/>
    <cellStyle name="—_Global Wireless1_03 CSC May 20_34 Valuation Model incl. new BP" xfId="2383"/>
    <cellStyle name="—_Global Wireless1_03 CSC May 20_37 Valuation Model incl. new BP" xfId="2384"/>
    <cellStyle name="—_Global Wireless1_03 CSC May 20_38 Valuation Model incl. new BP" xfId="2385"/>
    <cellStyle name="—_Global Wireless1_03 CSC May 20_39 Valuation Model incl. new BP" xfId="2386"/>
    <cellStyle name="—_Global Wireless1_03 CSC May 20_40 Valuation Model incl. new BP" xfId="2387"/>
    <cellStyle name="—_Global Wireless1_03 CSC May 20_44 Valuation Model incl. new BP" xfId="2388"/>
    <cellStyle name="—_Global Wireless1_03_ Clean LBO Model" xfId="2389"/>
    <cellStyle name="—_Global Wireless1_05_ Clean LBO Model" xfId="2390"/>
    <cellStyle name="—_Global Wireless1_08 Valuation Model incl. new BP" xfId="2391"/>
    <cellStyle name="—_Global Wireless1_09 Valuation Model incl. new BP" xfId="2392"/>
    <cellStyle name="—_Global Wireless1_13 Valuation Model incl. new BP" xfId="2393"/>
    <cellStyle name="—_Global Wireless1_14 Valuation Model incl. new BP" xfId="2394"/>
    <cellStyle name="—_Global Wireless1_15_ Clean LBO Model" xfId="2395"/>
    <cellStyle name="—_Global Wireless1_20 Valuation Model incl. new BP" xfId="2396"/>
    <cellStyle name="—_Global Wireless1_25 Valuation Model incl. new BP" xfId="2397"/>
    <cellStyle name="—_Global Wireless1_33 Valuation Model incl. new BP" xfId="2398"/>
    <cellStyle name="—_Global Wireless1_34 Valuation Model incl. new BP" xfId="2399"/>
    <cellStyle name="—_Global Wireless1_37 Valuation Model incl. new BP" xfId="2400"/>
    <cellStyle name="—_Global Wireless1_38 Valuation Model incl. new BP" xfId="2401"/>
    <cellStyle name="—_Global Wireless1_39 Valuation Model incl. new BP" xfId="2402"/>
    <cellStyle name="—_Global Wireless1_40 Valuation Model incl. new BP" xfId="2403"/>
    <cellStyle name="—_Global Wireless1_44 Valuation Model incl. new BP" xfId="2404"/>
    <cellStyle name="—_Global Wireless1_CSC May 20" xfId="2405"/>
    <cellStyle name="—_Global Wireless1_CSC May 20_03_ Clean LBO Model" xfId="2406"/>
    <cellStyle name="—_Global Wireless1_CSC May 20_05_ Clean LBO Model" xfId="2407"/>
    <cellStyle name="—_Global Wireless1_CSC May 20_08 Valuation Model incl. new BP" xfId="2408"/>
    <cellStyle name="—_Global Wireless1_CSC May 20_09 Valuation Model incl. new BP" xfId="2409"/>
    <cellStyle name="—_Global Wireless1_CSC May 20_13 Valuation Model incl. new BP" xfId="2410"/>
    <cellStyle name="—_Global Wireless1_CSC May 20_14 Valuation Model incl. new BP" xfId="2411"/>
    <cellStyle name="—_Global Wireless1_CSC May 20_15_ Clean LBO Model" xfId="2412"/>
    <cellStyle name="—_Global Wireless1_CSC May 20_20 Valuation Model incl. new BP" xfId="2413"/>
    <cellStyle name="—_Global Wireless1_CSC May 20_25 Valuation Model incl. new BP" xfId="2414"/>
    <cellStyle name="—_Global Wireless1_CSC May 20_33 Valuation Model incl. new BP" xfId="2415"/>
    <cellStyle name="—_Global Wireless1_CSC May 20_34 Valuation Model incl. new BP" xfId="2416"/>
    <cellStyle name="—_Global Wireless1_CSC May 20_37 Valuation Model incl. new BP" xfId="2417"/>
    <cellStyle name="—_Global Wireless1_CSC May 20_38 Valuation Model incl. new BP" xfId="2418"/>
    <cellStyle name="—_Global Wireless1_CSC May 20_39 Valuation Model incl. new BP" xfId="2419"/>
    <cellStyle name="—_Global Wireless1_CSC May 20_40 Valuation Model incl. new BP" xfId="2420"/>
    <cellStyle name="—_Global Wireless1_CSC May 20_44 Valuation Model incl. new BP" xfId="2421"/>
    <cellStyle name="—_GS Assumptions-F" xfId="2422"/>
    <cellStyle name="—_GS Assumptions-F_03_ Clean LBO Model" xfId="2423"/>
    <cellStyle name="—_GS Assumptions-F_05_ Clean LBO Model" xfId="2424"/>
    <cellStyle name="—_GS Assumptions-F_08 Valuation Model incl. new BP" xfId="2425"/>
    <cellStyle name="—_GS Assumptions-F_09 Valuation Model incl. new BP" xfId="2426"/>
    <cellStyle name="—_GS Assumptions-F_13 Valuation Model incl. new BP" xfId="2427"/>
    <cellStyle name="—_GS Assumptions-F_14 Valuation Model incl. new BP" xfId="2428"/>
    <cellStyle name="—_GS Assumptions-F_15_ Clean LBO Model" xfId="2429"/>
    <cellStyle name="—_GS Assumptions-F_20 Valuation Model incl. new BP" xfId="2430"/>
    <cellStyle name="—_GS Assumptions-F_25 Valuation Model incl. new BP" xfId="2431"/>
    <cellStyle name="—_GS Assumptions-F_33 Valuation Model incl. new BP" xfId="2432"/>
    <cellStyle name="—_GS Assumptions-F_34 Valuation Model incl. new BP" xfId="2433"/>
    <cellStyle name="—_GS Assumptions-F_37 Valuation Model incl. new BP" xfId="2434"/>
    <cellStyle name="—_GS Assumptions-F_38 Valuation Model incl. new BP" xfId="2435"/>
    <cellStyle name="—_GS Assumptions-F_39 Valuation Model incl. new BP" xfId="2436"/>
    <cellStyle name="—_GS Assumptions-F_40 Valuation Model incl. new BP" xfId="2437"/>
    <cellStyle name="—_GS Assumptions-F_44 Valuation Model incl. new BP" xfId="2438"/>
    <cellStyle name="—_GS Assumptions-F_Global Wireless1" xfId="2439"/>
    <cellStyle name="—_GS Assumptions-F_Global Wireless1_03 CSC May 20" xfId="2440"/>
    <cellStyle name="—_GS Assumptions-F_Global Wireless1_03 CSC May 20_03_ Clean LBO Model" xfId="2441"/>
    <cellStyle name="—_GS Assumptions-F_Global Wireless1_03 CSC May 20_05_ Clean LBO Model" xfId="2442"/>
    <cellStyle name="—_GS Assumptions-F_Global Wireless1_03 CSC May 20_08 Valuation Model incl. new BP" xfId="2443"/>
    <cellStyle name="—_GS Assumptions-F_Global Wireless1_03 CSC May 20_09 Valuation Model incl. new BP" xfId="2444"/>
    <cellStyle name="—_GS Assumptions-F_Global Wireless1_03 CSC May 20_13 Valuation Model incl. new BP" xfId="2445"/>
    <cellStyle name="—_GS Assumptions-F_Global Wireless1_03 CSC May 20_14 Valuation Model incl. new BP" xfId="2446"/>
    <cellStyle name="—_GS Assumptions-F_Global Wireless1_03 CSC May 20_15_ Clean LBO Model" xfId="2447"/>
    <cellStyle name="—_GS Assumptions-F_Global Wireless1_03 CSC May 20_20 Valuation Model incl. new BP" xfId="2448"/>
    <cellStyle name="—_GS Assumptions-F_Global Wireless1_03 CSC May 20_25 Valuation Model incl. new BP" xfId="2449"/>
    <cellStyle name="—_GS Assumptions-F_Global Wireless1_03 CSC May 20_33 Valuation Model incl. new BP" xfId="2450"/>
    <cellStyle name="—_GS Assumptions-F_Global Wireless1_03 CSC May 20_34 Valuation Model incl. new BP" xfId="2451"/>
    <cellStyle name="—_GS Assumptions-F_Global Wireless1_03 CSC May 20_37 Valuation Model incl. new BP" xfId="2452"/>
    <cellStyle name="—_GS Assumptions-F_Global Wireless1_03 CSC May 20_38 Valuation Model incl. new BP" xfId="2453"/>
    <cellStyle name="—_GS Assumptions-F_Global Wireless1_03 CSC May 20_39 Valuation Model incl. new BP" xfId="2454"/>
    <cellStyle name="—_GS Assumptions-F_Global Wireless1_03 CSC May 20_40 Valuation Model incl. new BP" xfId="2455"/>
    <cellStyle name="—_GS Assumptions-F_Global Wireless1_03 CSC May 20_44 Valuation Model incl. new BP" xfId="2456"/>
    <cellStyle name="—_GS Assumptions-F_Global Wireless1_03_ Clean LBO Model" xfId="2457"/>
    <cellStyle name="—_GS Assumptions-F_Global Wireless1_05_ Clean LBO Model" xfId="2458"/>
    <cellStyle name="—_GS Assumptions-F_Global Wireless1_08 Valuation Model incl. new BP" xfId="2459"/>
    <cellStyle name="—_GS Assumptions-F_Global Wireless1_09 Valuation Model incl. new BP" xfId="2460"/>
    <cellStyle name="—_GS Assumptions-F_Global Wireless1_13 Valuation Model incl. new BP" xfId="2461"/>
    <cellStyle name="—_GS Assumptions-F_Global Wireless1_14 Valuation Model incl. new BP" xfId="2462"/>
    <cellStyle name="—_GS Assumptions-F_Global Wireless1_15_ Clean LBO Model" xfId="2463"/>
    <cellStyle name="—_GS Assumptions-F_Global Wireless1_20 Valuation Model incl. new BP" xfId="2464"/>
    <cellStyle name="—_GS Assumptions-F_Global Wireless1_25 Valuation Model incl. new BP" xfId="2465"/>
    <cellStyle name="—_GS Assumptions-F_Global Wireless1_33 Valuation Model incl. new BP" xfId="2466"/>
    <cellStyle name="—_GS Assumptions-F_Global Wireless1_34 Valuation Model incl. new BP" xfId="2467"/>
    <cellStyle name="—_GS Assumptions-F_Global Wireless1_37 Valuation Model incl. new BP" xfId="2468"/>
    <cellStyle name="—_GS Assumptions-F_Global Wireless1_38 Valuation Model incl. new BP" xfId="2469"/>
    <cellStyle name="—_GS Assumptions-F_Global Wireless1_39 Valuation Model incl. new BP" xfId="2470"/>
    <cellStyle name="—_GS Assumptions-F_Global Wireless1_40 Valuation Model incl. new BP" xfId="2471"/>
    <cellStyle name="—_GS Assumptions-F_Global Wireless1_44 Valuation Model incl. new BP" xfId="2472"/>
    <cellStyle name="—_GS Assumptions-F_Global Wireless1_CSC May 20" xfId="2473"/>
    <cellStyle name="—_GS Assumptions-F_Global Wireless1_CSC May 20_03_ Clean LBO Model" xfId="2474"/>
    <cellStyle name="—_GS Assumptions-F_Global Wireless1_CSC May 20_05_ Clean LBO Model" xfId="2475"/>
    <cellStyle name="—_GS Assumptions-F_Global Wireless1_CSC May 20_08 Valuation Model incl. new BP" xfId="2476"/>
    <cellStyle name="—_GS Assumptions-F_Global Wireless1_CSC May 20_09 Valuation Model incl. new BP" xfId="2477"/>
    <cellStyle name="—_GS Assumptions-F_Global Wireless1_CSC May 20_13 Valuation Model incl. new BP" xfId="2478"/>
    <cellStyle name="—_GS Assumptions-F_Global Wireless1_CSC May 20_14 Valuation Model incl. new BP" xfId="2479"/>
    <cellStyle name="—_GS Assumptions-F_Global Wireless1_CSC May 20_15_ Clean LBO Model" xfId="2480"/>
    <cellStyle name="—_GS Assumptions-F_Global Wireless1_CSC May 20_20 Valuation Model incl. new BP" xfId="2481"/>
    <cellStyle name="—_GS Assumptions-F_Global Wireless1_CSC May 20_25 Valuation Model incl. new BP" xfId="2482"/>
    <cellStyle name="—_GS Assumptions-F_Global Wireless1_CSC May 20_33 Valuation Model incl. new BP" xfId="2483"/>
    <cellStyle name="—_GS Assumptions-F_Global Wireless1_CSC May 20_34 Valuation Model incl. new BP" xfId="2484"/>
    <cellStyle name="—_GS Assumptions-F_Global Wireless1_CSC May 20_37 Valuation Model incl. new BP" xfId="2485"/>
    <cellStyle name="—_GS Assumptions-F_Global Wireless1_CSC May 20_38 Valuation Model incl. new BP" xfId="2486"/>
    <cellStyle name="—_GS Assumptions-F_Global Wireless1_CSC May 20_39 Valuation Model incl. new BP" xfId="2487"/>
    <cellStyle name="—_GS Assumptions-F_Global Wireless1_CSC May 20_40 Valuation Model incl. new BP" xfId="2488"/>
    <cellStyle name="—_GS Assumptions-F_Global Wireless1_CSC May 20_44 Valuation Model incl. new BP" xfId="2489"/>
    <cellStyle name="—_GS_Balance" xfId="2490"/>
    <cellStyle name="—_GS_Balance_03_ Clean LBO Model" xfId="2491"/>
    <cellStyle name="—_GS_Balance_05_ Clean LBO Model" xfId="2492"/>
    <cellStyle name="—_GS_Balance_08 Valuation Model incl. new BP" xfId="2493"/>
    <cellStyle name="—_GS_Balance_09 Valuation Model incl. new BP" xfId="2494"/>
    <cellStyle name="—_GS_Balance_13 Valuation Model incl. new BP" xfId="2495"/>
    <cellStyle name="—_GS_Balance_14 Valuation Model incl. new BP" xfId="2496"/>
    <cellStyle name="—_GS_Balance_15_ Clean LBO Model" xfId="2497"/>
    <cellStyle name="—_GS_Balance_20 Valuation Model incl. new BP" xfId="2498"/>
    <cellStyle name="—_GS_Balance_25 Valuation Model incl. new BP" xfId="2499"/>
    <cellStyle name="—_GS_Balance_33 Valuation Model incl. new BP" xfId="2500"/>
    <cellStyle name="—_GS_Balance_34 Valuation Model incl. new BP" xfId="2501"/>
    <cellStyle name="—_GS_Balance_37 Valuation Model incl. new BP" xfId="2502"/>
    <cellStyle name="—_GS_Balance_38 Valuation Model incl. new BP" xfId="2503"/>
    <cellStyle name="—_GS_Balance_39 Valuation Model incl. new BP" xfId="2504"/>
    <cellStyle name="—_GS_Balance_40 Valuation Model incl. new BP" xfId="2505"/>
    <cellStyle name="—_GS_Balance_44 Valuation Model incl. new BP" xfId="2506"/>
    <cellStyle name="—_GS_Balance_Global Wireless1" xfId="2507"/>
    <cellStyle name="—_GS_Balance_Global Wireless1_03 CSC May 20" xfId="2508"/>
    <cellStyle name="—_GS_Balance_Global Wireless1_03 CSC May 20_03_ Clean LBO Model" xfId="2509"/>
    <cellStyle name="—_GS_Balance_Global Wireless1_03 CSC May 20_05_ Clean LBO Model" xfId="2510"/>
    <cellStyle name="—_GS_Balance_Global Wireless1_03 CSC May 20_08 Valuation Model incl. new BP" xfId="2511"/>
    <cellStyle name="—_GS_Balance_Global Wireless1_03 CSC May 20_09 Valuation Model incl. new BP" xfId="2512"/>
    <cellStyle name="—_GS_Balance_Global Wireless1_03 CSC May 20_13 Valuation Model incl. new BP" xfId="2513"/>
    <cellStyle name="—_GS_Balance_Global Wireless1_03 CSC May 20_14 Valuation Model incl. new BP" xfId="2514"/>
    <cellStyle name="—_GS_Balance_Global Wireless1_03 CSC May 20_15_ Clean LBO Model" xfId="2515"/>
    <cellStyle name="—_GS_Balance_Global Wireless1_03 CSC May 20_20 Valuation Model incl. new BP" xfId="2516"/>
    <cellStyle name="—_GS_Balance_Global Wireless1_03 CSC May 20_25 Valuation Model incl. new BP" xfId="2517"/>
    <cellStyle name="—_GS_Balance_Global Wireless1_03 CSC May 20_33 Valuation Model incl. new BP" xfId="2518"/>
    <cellStyle name="—_GS_Balance_Global Wireless1_03 CSC May 20_34 Valuation Model incl. new BP" xfId="2519"/>
    <cellStyle name="—_GS_Balance_Global Wireless1_03 CSC May 20_37 Valuation Model incl. new BP" xfId="2520"/>
    <cellStyle name="—_GS_Balance_Global Wireless1_03 CSC May 20_38 Valuation Model incl. new BP" xfId="2521"/>
    <cellStyle name="—_GS_Balance_Global Wireless1_03 CSC May 20_39 Valuation Model incl. new BP" xfId="2522"/>
    <cellStyle name="—_GS_Balance_Global Wireless1_03 CSC May 20_40 Valuation Model incl. new BP" xfId="2523"/>
    <cellStyle name="—_GS_Balance_Global Wireless1_03 CSC May 20_44 Valuation Model incl. new BP" xfId="2524"/>
    <cellStyle name="—_GS_Balance_Global Wireless1_03_ Clean LBO Model" xfId="2525"/>
    <cellStyle name="—_GS_Balance_Global Wireless1_05_ Clean LBO Model" xfId="2526"/>
    <cellStyle name="—_GS_Balance_Global Wireless1_08 Valuation Model incl. new BP" xfId="2527"/>
    <cellStyle name="—_GS_Balance_Global Wireless1_09 Valuation Model incl. new BP" xfId="2528"/>
    <cellStyle name="—_GS_Balance_Global Wireless1_13 Valuation Model incl. new BP" xfId="2529"/>
    <cellStyle name="—_GS_Balance_Global Wireless1_14 Valuation Model incl. new BP" xfId="2530"/>
    <cellStyle name="—_GS_Balance_Global Wireless1_15_ Clean LBO Model" xfId="2531"/>
    <cellStyle name="—_GS_Balance_Global Wireless1_20 Valuation Model incl. new BP" xfId="2532"/>
    <cellStyle name="—_GS_Balance_Global Wireless1_25 Valuation Model incl. new BP" xfId="2533"/>
    <cellStyle name="—_GS_Balance_Global Wireless1_33 Valuation Model incl. new BP" xfId="2534"/>
    <cellStyle name="—_GS_Balance_Global Wireless1_34 Valuation Model incl. new BP" xfId="2535"/>
    <cellStyle name="—_GS_Balance_Global Wireless1_37 Valuation Model incl. new BP" xfId="2536"/>
    <cellStyle name="—_GS_Balance_Global Wireless1_38 Valuation Model incl. new BP" xfId="2537"/>
    <cellStyle name="—_GS_Balance_Global Wireless1_39 Valuation Model incl. new BP" xfId="2538"/>
    <cellStyle name="—_GS_Balance_Global Wireless1_40 Valuation Model incl. new BP" xfId="2539"/>
    <cellStyle name="—_GS_Balance_Global Wireless1_44 Valuation Model incl. new BP" xfId="2540"/>
    <cellStyle name="—_GS_Balance_Global Wireless1_CSC May 20" xfId="2541"/>
    <cellStyle name="—_GS_Balance_Global Wireless1_CSC May 20_03_ Clean LBO Model" xfId="2542"/>
    <cellStyle name="—_GS_Balance_Global Wireless1_CSC May 20_05_ Clean LBO Model" xfId="2543"/>
    <cellStyle name="—_GS_Balance_Global Wireless1_CSC May 20_08 Valuation Model incl. new BP" xfId="2544"/>
    <cellStyle name="—_GS_Balance_Global Wireless1_CSC May 20_09 Valuation Model incl. new BP" xfId="2545"/>
    <cellStyle name="—_GS_Balance_Global Wireless1_CSC May 20_13 Valuation Model incl. new BP" xfId="2546"/>
    <cellStyle name="—_GS_Balance_Global Wireless1_CSC May 20_14 Valuation Model incl. new BP" xfId="2547"/>
    <cellStyle name="—_GS_Balance_Global Wireless1_CSC May 20_15_ Clean LBO Model" xfId="2548"/>
    <cellStyle name="—_GS_Balance_Global Wireless1_CSC May 20_20 Valuation Model incl. new BP" xfId="2549"/>
    <cellStyle name="—_GS_Balance_Global Wireless1_CSC May 20_25 Valuation Model incl. new BP" xfId="2550"/>
    <cellStyle name="—_GS_Balance_Global Wireless1_CSC May 20_33 Valuation Model incl. new BP" xfId="2551"/>
    <cellStyle name="—_GS_Balance_Global Wireless1_CSC May 20_34 Valuation Model incl. new BP" xfId="2552"/>
    <cellStyle name="—_GS_Balance_Global Wireless1_CSC May 20_37 Valuation Model incl. new BP" xfId="2553"/>
    <cellStyle name="—_GS_Balance_Global Wireless1_CSC May 20_38 Valuation Model incl. new BP" xfId="2554"/>
    <cellStyle name="—_GS_Balance_Global Wireless1_CSC May 20_39 Valuation Model incl. new BP" xfId="2555"/>
    <cellStyle name="—_GS_Balance_Global Wireless1_CSC May 20_40 Valuation Model incl. new BP" xfId="2556"/>
    <cellStyle name="—_GS_Balance_Global Wireless1_CSC May 20_44 Valuation Model incl. new BP" xfId="2557"/>
    <cellStyle name="—_GS_Cash " xfId="2558"/>
    <cellStyle name="—_GS_Cash  (2)" xfId="2559"/>
    <cellStyle name="—_GS_Cash  (2)_03_ Clean LBO Model" xfId="2560"/>
    <cellStyle name="—_GS_Cash  (2)_05_ Clean LBO Model" xfId="2561"/>
    <cellStyle name="—_GS_Cash  (2)_08 Valuation Model incl. new BP" xfId="2562"/>
    <cellStyle name="—_GS_Cash  (2)_09 Valuation Model incl. new BP" xfId="2563"/>
    <cellStyle name="—_GS_Cash  (2)_13 Valuation Model incl. new BP" xfId="2564"/>
    <cellStyle name="—_GS_Cash  (2)_14 Valuation Model incl. new BP" xfId="2565"/>
    <cellStyle name="—_GS_Cash  (2)_15_ Clean LBO Model" xfId="2566"/>
    <cellStyle name="—_GS_Cash  (2)_20 Valuation Model incl. new BP" xfId="2567"/>
    <cellStyle name="—_GS_Cash  (2)_25 Valuation Model incl. new BP" xfId="2568"/>
    <cellStyle name="—_GS_Cash  (2)_33 Valuation Model incl. new BP" xfId="2569"/>
    <cellStyle name="—_GS_Cash  (2)_34 Valuation Model incl. new BP" xfId="2570"/>
    <cellStyle name="—_GS_Cash  (2)_37 Valuation Model incl. new BP" xfId="2571"/>
    <cellStyle name="—_GS_Cash  (2)_38 Valuation Model incl. new BP" xfId="2572"/>
    <cellStyle name="—_GS_Cash  (2)_39 Valuation Model incl. new BP" xfId="2573"/>
    <cellStyle name="—_GS_Cash  (2)_40 Valuation Model incl. new BP" xfId="2574"/>
    <cellStyle name="—_GS_Cash  (2)_44 Valuation Model incl. new BP" xfId="2575"/>
    <cellStyle name="—_GS_Cash  (2)_Global Wireless1" xfId="2576"/>
    <cellStyle name="—_GS_Cash  (2)_Global Wireless1_03 CSC May 20" xfId="2577"/>
    <cellStyle name="—_GS_Cash  (2)_Global Wireless1_03 CSC May 20_03_ Clean LBO Model" xfId="2578"/>
    <cellStyle name="—_GS_Cash  (2)_Global Wireless1_03 CSC May 20_05_ Clean LBO Model" xfId="2579"/>
    <cellStyle name="—_GS_Cash  (2)_Global Wireless1_03 CSC May 20_08 Valuation Model incl. new BP" xfId="2580"/>
    <cellStyle name="—_GS_Cash  (2)_Global Wireless1_03 CSC May 20_09 Valuation Model incl. new BP" xfId="2581"/>
    <cellStyle name="—_GS_Cash  (2)_Global Wireless1_03 CSC May 20_13 Valuation Model incl. new BP" xfId="2582"/>
    <cellStyle name="—_GS_Cash  (2)_Global Wireless1_03 CSC May 20_14 Valuation Model incl. new BP" xfId="2583"/>
    <cellStyle name="—_GS_Cash  (2)_Global Wireless1_03 CSC May 20_15_ Clean LBO Model" xfId="2584"/>
    <cellStyle name="—_GS_Cash  (2)_Global Wireless1_03 CSC May 20_20 Valuation Model incl. new BP" xfId="2585"/>
    <cellStyle name="—_GS_Cash  (2)_Global Wireless1_03 CSC May 20_25 Valuation Model incl. new BP" xfId="2586"/>
    <cellStyle name="—_GS_Cash  (2)_Global Wireless1_03 CSC May 20_33 Valuation Model incl. new BP" xfId="2587"/>
    <cellStyle name="—_GS_Cash  (2)_Global Wireless1_03 CSC May 20_34 Valuation Model incl. new BP" xfId="2588"/>
    <cellStyle name="—_GS_Cash  (2)_Global Wireless1_03 CSC May 20_37 Valuation Model incl. new BP" xfId="2589"/>
    <cellStyle name="—_GS_Cash  (2)_Global Wireless1_03 CSC May 20_38 Valuation Model incl. new BP" xfId="2590"/>
    <cellStyle name="—_GS_Cash  (2)_Global Wireless1_03 CSC May 20_39 Valuation Model incl. new BP" xfId="2591"/>
    <cellStyle name="—_GS_Cash  (2)_Global Wireless1_03 CSC May 20_40 Valuation Model incl. new BP" xfId="2592"/>
    <cellStyle name="—_GS_Cash  (2)_Global Wireless1_03 CSC May 20_44 Valuation Model incl. new BP" xfId="2593"/>
    <cellStyle name="—_GS_Cash  (2)_Global Wireless1_03_ Clean LBO Model" xfId="2594"/>
    <cellStyle name="—_GS_Cash  (2)_Global Wireless1_05_ Clean LBO Model" xfId="2595"/>
    <cellStyle name="—_GS_Cash  (2)_Global Wireless1_08 Valuation Model incl. new BP" xfId="2596"/>
    <cellStyle name="—_GS_Cash  (2)_Global Wireless1_09 Valuation Model incl. new BP" xfId="2597"/>
    <cellStyle name="—_GS_Cash  (2)_Global Wireless1_13 Valuation Model incl. new BP" xfId="2598"/>
    <cellStyle name="—_GS_Cash  (2)_Global Wireless1_14 Valuation Model incl. new BP" xfId="2599"/>
    <cellStyle name="—_GS_Cash  (2)_Global Wireless1_15_ Clean LBO Model" xfId="2600"/>
    <cellStyle name="—_GS_Cash  (2)_Global Wireless1_20 Valuation Model incl. new BP" xfId="2601"/>
    <cellStyle name="—_GS_Cash  (2)_Global Wireless1_25 Valuation Model incl. new BP" xfId="2602"/>
    <cellStyle name="—_GS_Cash  (2)_Global Wireless1_33 Valuation Model incl. new BP" xfId="2603"/>
    <cellStyle name="—_GS_Cash  (2)_Global Wireless1_34 Valuation Model incl. new BP" xfId="2604"/>
    <cellStyle name="—_GS_Cash  (2)_Global Wireless1_37 Valuation Model incl. new BP" xfId="2605"/>
    <cellStyle name="—_GS_Cash  (2)_Global Wireless1_38 Valuation Model incl. new BP" xfId="2606"/>
    <cellStyle name="—_GS_Cash  (2)_Global Wireless1_39 Valuation Model incl. new BP" xfId="2607"/>
    <cellStyle name="—_GS_Cash  (2)_Global Wireless1_40 Valuation Model incl. new BP" xfId="2608"/>
    <cellStyle name="—_GS_Cash  (2)_Global Wireless1_44 Valuation Model incl. new BP" xfId="2609"/>
    <cellStyle name="—_GS_Cash  (2)_Global Wireless1_CSC May 20" xfId="2610"/>
    <cellStyle name="—_GS_Cash  (2)_Global Wireless1_CSC May 20_03_ Clean LBO Model" xfId="2611"/>
    <cellStyle name="—_GS_Cash  (2)_Global Wireless1_CSC May 20_05_ Clean LBO Model" xfId="2612"/>
    <cellStyle name="—_GS_Cash  (2)_Global Wireless1_CSC May 20_08 Valuation Model incl. new BP" xfId="2613"/>
    <cellStyle name="—_GS_Cash  (2)_Global Wireless1_CSC May 20_09 Valuation Model incl. new BP" xfId="2614"/>
    <cellStyle name="—_GS_Cash  (2)_Global Wireless1_CSC May 20_13 Valuation Model incl. new BP" xfId="2615"/>
    <cellStyle name="—_GS_Cash  (2)_Global Wireless1_CSC May 20_14 Valuation Model incl. new BP" xfId="2616"/>
    <cellStyle name="—_GS_Cash  (2)_Global Wireless1_CSC May 20_15_ Clean LBO Model" xfId="2617"/>
    <cellStyle name="—_GS_Cash  (2)_Global Wireless1_CSC May 20_20 Valuation Model incl. new BP" xfId="2618"/>
    <cellStyle name="—_GS_Cash  (2)_Global Wireless1_CSC May 20_25 Valuation Model incl. new BP" xfId="2619"/>
    <cellStyle name="—_GS_Cash  (2)_Global Wireless1_CSC May 20_33 Valuation Model incl. new BP" xfId="2620"/>
    <cellStyle name="—_GS_Cash  (2)_Global Wireless1_CSC May 20_34 Valuation Model incl. new BP" xfId="2621"/>
    <cellStyle name="—_GS_Cash  (2)_Global Wireless1_CSC May 20_37 Valuation Model incl. new BP" xfId="2622"/>
    <cellStyle name="—_GS_Cash  (2)_Global Wireless1_CSC May 20_38 Valuation Model incl. new BP" xfId="2623"/>
    <cellStyle name="—_GS_Cash  (2)_Global Wireless1_CSC May 20_39 Valuation Model incl. new BP" xfId="2624"/>
    <cellStyle name="—_GS_Cash  (2)_Global Wireless1_CSC May 20_40 Valuation Model incl. new BP" xfId="2625"/>
    <cellStyle name="—_GS_Cash  (2)_Global Wireless1_CSC May 20_44 Valuation Model incl. new BP" xfId="2626"/>
    <cellStyle name="—_GS_Cash _03_ Clean LBO Model" xfId="2627"/>
    <cellStyle name="—_GS_Cash _05_ Clean LBO Model" xfId="2628"/>
    <cellStyle name="—_GS_Cash _08 Valuation Model incl. new BP" xfId="2629"/>
    <cellStyle name="—_GS_Cash _09 Valuation Model incl. new BP" xfId="2630"/>
    <cellStyle name="—_GS_Cash _13 Valuation Model incl. new BP" xfId="2631"/>
    <cellStyle name="—_GS_Cash _14 Valuation Model incl. new BP" xfId="2632"/>
    <cellStyle name="—_GS_Cash _15_ Clean LBO Model" xfId="2633"/>
    <cellStyle name="—_GS_Cash _20 Valuation Model incl. new BP" xfId="2634"/>
    <cellStyle name="—_GS_Cash _25 Valuation Model incl. new BP" xfId="2635"/>
    <cellStyle name="—_GS_Cash _33 Valuation Model incl. new BP" xfId="2636"/>
    <cellStyle name="—_GS_Cash _34 Valuation Model incl. new BP" xfId="2637"/>
    <cellStyle name="—_GS_Cash _37 Valuation Model incl. new BP" xfId="2638"/>
    <cellStyle name="—_GS_Cash _38 Valuation Model incl. new BP" xfId="2639"/>
    <cellStyle name="—_GS_Cash _39 Valuation Model incl. new BP" xfId="2640"/>
    <cellStyle name="—_GS_Cash _40 Valuation Model incl. new BP" xfId="2641"/>
    <cellStyle name="—_GS_Cash _44 Valuation Model incl. new BP" xfId="2642"/>
    <cellStyle name="—_GS_Cash _Global Wireless1" xfId="2643"/>
    <cellStyle name="—_GS_Cash _Global Wireless1_03 CSC May 20" xfId="2644"/>
    <cellStyle name="—_GS_Cash _Global Wireless1_03 CSC May 20_03_ Clean LBO Model" xfId="2645"/>
    <cellStyle name="—_GS_Cash _Global Wireless1_03 CSC May 20_05_ Clean LBO Model" xfId="2646"/>
    <cellStyle name="—_GS_Cash _Global Wireless1_03 CSC May 20_08 Valuation Model incl. new BP" xfId="2647"/>
    <cellStyle name="—_GS_Cash _Global Wireless1_03 CSC May 20_09 Valuation Model incl. new BP" xfId="2648"/>
    <cellStyle name="—_GS_Cash _Global Wireless1_03 CSC May 20_13 Valuation Model incl. new BP" xfId="2649"/>
    <cellStyle name="—_GS_Cash _Global Wireless1_03 CSC May 20_14 Valuation Model incl. new BP" xfId="2650"/>
    <cellStyle name="—_GS_Cash _Global Wireless1_03 CSC May 20_15_ Clean LBO Model" xfId="2651"/>
    <cellStyle name="—_GS_Cash _Global Wireless1_03 CSC May 20_20 Valuation Model incl. new BP" xfId="2652"/>
    <cellStyle name="—_GS_Cash _Global Wireless1_03 CSC May 20_25 Valuation Model incl. new BP" xfId="2653"/>
    <cellStyle name="—_GS_Cash _Global Wireless1_03 CSC May 20_33 Valuation Model incl. new BP" xfId="2654"/>
    <cellStyle name="—_GS_Cash _Global Wireless1_03 CSC May 20_34 Valuation Model incl. new BP" xfId="2655"/>
    <cellStyle name="—_GS_Cash _Global Wireless1_03 CSC May 20_37 Valuation Model incl. new BP" xfId="2656"/>
    <cellStyle name="—_GS_Cash _Global Wireless1_03 CSC May 20_38 Valuation Model incl. new BP" xfId="2657"/>
    <cellStyle name="—_GS_Cash _Global Wireless1_03 CSC May 20_39 Valuation Model incl. new BP" xfId="2658"/>
    <cellStyle name="—_GS_Cash _Global Wireless1_03 CSC May 20_40 Valuation Model incl. new BP" xfId="2659"/>
    <cellStyle name="—_GS_Cash _Global Wireless1_03 CSC May 20_44 Valuation Model incl. new BP" xfId="2660"/>
    <cellStyle name="—_GS_Cash _Global Wireless1_03_ Clean LBO Model" xfId="2661"/>
    <cellStyle name="—_GS_Cash _Global Wireless1_05_ Clean LBO Model" xfId="2662"/>
    <cellStyle name="—_GS_Cash _Global Wireless1_08 Valuation Model incl. new BP" xfId="2663"/>
    <cellStyle name="—_GS_Cash _Global Wireless1_09 Valuation Model incl. new BP" xfId="2664"/>
    <cellStyle name="—_GS_Cash _Global Wireless1_13 Valuation Model incl. new BP" xfId="2665"/>
    <cellStyle name="—_GS_Cash _Global Wireless1_14 Valuation Model incl. new BP" xfId="2666"/>
    <cellStyle name="—_GS_Cash _Global Wireless1_15_ Clean LBO Model" xfId="2667"/>
    <cellStyle name="—_GS_Cash _Global Wireless1_20 Valuation Model incl. new BP" xfId="2668"/>
    <cellStyle name="—_GS_Cash _Global Wireless1_25 Valuation Model incl. new BP" xfId="2669"/>
    <cellStyle name="—_GS_Cash _Global Wireless1_33 Valuation Model incl. new BP" xfId="2670"/>
    <cellStyle name="—_GS_Cash _Global Wireless1_34 Valuation Model incl. new BP" xfId="2671"/>
    <cellStyle name="—_GS_Cash _Global Wireless1_37 Valuation Model incl. new BP" xfId="2672"/>
    <cellStyle name="—_GS_Cash _Global Wireless1_38 Valuation Model incl. new BP" xfId="2673"/>
    <cellStyle name="—_GS_Cash _Global Wireless1_39 Valuation Model incl. new BP" xfId="2674"/>
    <cellStyle name="—_GS_Cash _Global Wireless1_40 Valuation Model incl. new BP" xfId="2675"/>
    <cellStyle name="—_GS_Cash _Global Wireless1_44 Valuation Model incl. new BP" xfId="2676"/>
    <cellStyle name="—_GS_Cash _Global Wireless1_CSC May 20" xfId="2677"/>
    <cellStyle name="—_GS_Cash _Global Wireless1_CSC May 20_03_ Clean LBO Model" xfId="2678"/>
    <cellStyle name="—_GS_Cash _Global Wireless1_CSC May 20_05_ Clean LBO Model" xfId="2679"/>
    <cellStyle name="—_GS_Cash _Global Wireless1_CSC May 20_08 Valuation Model incl. new BP" xfId="2680"/>
    <cellStyle name="—_GS_Cash _Global Wireless1_CSC May 20_09 Valuation Model incl. new BP" xfId="2681"/>
    <cellStyle name="—_GS_Cash _Global Wireless1_CSC May 20_13 Valuation Model incl. new BP" xfId="2682"/>
    <cellStyle name="—_GS_Cash _Global Wireless1_CSC May 20_14 Valuation Model incl. new BP" xfId="2683"/>
    <cellStyle name="—_GS_Cash _Global Wireless1_CSC May 20_15_ Clean LBO Model" xfId="2684"/>
    <cellStyle name="—_GS_Cash _Global Wireless1_CSC May 20_20 Valuation Model incl. new BP" xfId="2685"/>
    <cellStyle name="—_GS_Cash _Global Wireless1_CSC May 20_25 Valuation Model incl. new BP" xfId="2686"/>
    <cellStyle name="—_GS_Cash _Global Wireless1_CSC May 20_33 Valuation Model incl. new BP" xfId="2687"/>
    <cellStyle name="—_GS_Cash _Global Wireless1_CSC May 20_34 Valuation Model incl. new BP" xfId="2688"/>
    <cellStyle name="—_GS_Cash _Global Wireless1_CSC May 20_37 Valuation Model incl. new BP" xfId="2689"/>
    <cellStyle name="—_GS_Cash _Global Wireless1_CSC May 20_38 Valuation Model incl. new BP" xfId="2690"/>
    <cellStyle name="—_GS_Cash _Global Wireless1_CSC May 20_39 Valuation Model incl. new BP" xfId="2691"/>
    <cellStyle name="—_GS_Cash _Global Wireless1_CSC May 20_40 Valuation Model incl. new BP" xfId="2692"/>
    <cellStyle name="—_GS_Cash _Global Wireless1_CSC May 20_44 Valuation Model incl. new BP" xfId="2693"/>
    <cellStyle name="—_GS_DCF" xfId="2694"/>
    <cellStyle name="—_GS_DCF_03_ Clean LBO Model" xfId="2695"/>
    <cellStyle name="—_GS_DCF_05_ Clean LBO Model" xfId="2696"/>
    <cellStyle name="—_GS_DCF_08 Valuation Model incl. new BP" xfId="2697"/>
    <cellStyle name="—_GS_DCF_09 Valuation Model incl. new BP" xfId="2698"/>
    <cellStyle name="—_GS_DCF_13 Valuation Model incl. new BP" xfId="2699"/>
    <cellStyle name="—_GS_DCF_14 Valuation Model incl. new BP" xfId="2700"/>
    <cellStyle name="—_GS_DCF_15_ Clean LBO Model" xfId="2701"/>
    <cellStyle name="—_GS_DCF_20 Valuation Model incl. new BP" xfId="2702"/>
    <cellStyle name="—_GS_DCF_25 Valuation Model incl. new BP" xfId="2703"/>
    <cellStyle name="—_GS_DCF_33 Valuation Model incl. new BP" xfId="2704"/>
    <cellStyle name="—_GS_DCF_34 Valuation Model incl. new BP" xfId="2705"/>
    <cellStyle name="—_GS_DCF_37 Valuation Model incl. new BP" xfId="2706"/>
    <cellStyle name="—_GS_DCF_38 Valuation Model incl. new BP" xfId="2707"/>
    <cellStyle name="—_GS_DCF_39 Valuation Model incl. new BP" xfId="2708"/>
    <cellStyle name="—_GS_DCF_40 Valuation Model incl. new BP" xfId="2709"/>
    <cellStyle name="—_GS_DCF_44 Valuation Model incl. new BP" xfId="2710"/>
    <cellStyle name="—_GS_DCF_Global Wireless1" xfId="2711"/>
    <cellStyle name="—_GS_DCF_Global Wireless1_03 CSC May 20" xfId="2712"/>
    <cellStyle name="—_GS_DCF_Global Wireless1_03 CSC May 20_03_ Clean LBO Model" xfId="2713"/>
    <cellStyle name="—_GS_DCF_Global Wireless1_03 CSC May 20_05_ Clean LBO Model" xfId="2714"/>
    <cellStyle name="—_GS_DCF_Global Wireless1_03 CSC May 20_08 Valuation Model incl. new BP" xfId="2715"/>
    <cellStyle name="—_GS_DCF_Global Wireless1_03 CSC May 20_09 Valuation Model incl. new BP" xfId="2716"/>
    <cellStyle name="—_GS_DCF_Global Wireless1_03 CSC May 20_13 Valuation Model incl. new BP" xfId="2717"/>
    <cellStyle name="—_GS_DCF_Global Wireless1_03 CSC May 20_14 Valuation Model incl. new BP" xfId="2718"/>
    <cellStyle name="—_GS_DCF_Global Wireless1_03 CSC May 20_15_ Clean LBO Model" xfId="2719"/>
    <cellStyle name="—_GS_DCF_Global Wireless1_03 CSC May 20_20 Valuation Model incl. new BP" xfId="2720"/>
    <cellStyle name="—_GS_DCF_Global Wireless1_03 CSC May 20_25 Valuation Model incl. new BP" xfId="2721"/>
    <cellStyle name="—_GS_DCF_Global Wireless1_03 CSC May 20_33 Valuation Model incl. new BP" xfId="2722"/>
    <cellStyle name="—_GS_DCF_Global Wireless1_03 CSC May 20_34 Valuation Model incl. new BP" xfId="2723"/>
    <cellStyle name="—_GS_DCF_Global Wireless1_03 CSC May 20_37 Valuation Model incl. new BP" xfId="2724"/>
    <cellStyle name="—_GS_DCF_Global Wireless1_03 CSC May 20_38 Valuation Model incl. new BP" xfId="2725"/>
    <cellStyle name="—_GS_DCF_Global Wireless1_03 CSC May 20_39 Valuation Model incl. new BP" xfId="2726"/>
    <cellStyle name="—_GS_DCF_Global Wireless1_03 CSC May 20_40 Valuation Model incl. new BP" xfId="2727"/>
    <cellStyle name="—_GS_DCF_Global Wireless1_03 CSC May 20_44 Valuation Model incl. new BP" xfId="2728"/>
    <cellStyle name="—_GS_DCF_Global Wireless1_03_ Clean LBO Model" xfId="2729"/>
    <cellStyle name="—_GS_DCF_Global Wireless1_05_ Clean LBO Model" xfId="2730"/>
    <cellStyle name="—_GS_DCF_Global Wireless1_08 Valuation Model incl. new BP" xfId="2731"/>
    <cellStyle name="—_GS_DCF_Global Wireless1_09 Valuation Model incl. new BP" xfId="2732"/>
    <cellStyle name="—_GS_DCF_Global Wireless1_13 Valuation Model incl. new BP" xfId="2733"/>
    <cellStyle name="—_GS_DCF_Global Wireless1_14 Valuation Model incl. new BP" xfId="2734"/>
    <cellStyle name="—_GS_DCF_Global Wireless1_15_ Clean LBO Model" xfId="2735"/>
    <cellStyle name="—_GS_DCF_Global Wireless1_20 Valuation Model incl. new BP" xfId="2736"/>
    <cellStyle name="—_GS_DCF_Global Wireless1_25 Valuation Model incl. new BP" xfId="2737"/>
    <cellStyle name="—_GS_DCF_Global Wireless1_33 Valuation Model incl. new BP" xfId="2738"/>
    <cellStyle name="—_GS_DCF_Global Wireless1_34 Valuation Model incl. new BP" xfId="2739"/>
    <cellStyle name="—_GS_DCF_Global Wireless1_37 Valuation Model incl. new BP" xfId="2740"/>
    <cellStyle name="—_GS_DCF_Global Wireless1_38 Valuation Model incl. new BP" xfId="2741"/>
    <cellStyle name="—_GS_DCF_Global Wireless1_39 Valuation Model incl. new BP" xfId="2742"/>
    <cellStyle name="—_GS_DCF_Global Wireless1_40 Valuation Model incl. new BP" xfId="2743"/>
    <cellStyle name="—_GS_DCF_Global Wireless1_44 Valuation Model incl. new BP" xfId="2744"/>
    <cellStyle name="—_GS_DCF_Global Wireless1_CSC May 20" xfId="2745"/>
    <cellStyle name="—_GS_DCF_Global Wireless1_CSC May 20_03_ Clean LBO Model" xfId="2746"/>
    <cellStyle name="—_GS_DCF_Global Wireless1_CSC May 20_05_ Clean LBO Model" xfId="2747"/>
    <cellStyle name="—_GS_DCF_Global Wireless1_CSC May 20_08 Valuation Model incl. new BP" xfId="2748"/>
    <cellStyle name="—_GS_DCF_Global Wireless1_CSC May 20_09 Valuation Model incl. new BP" xfId="2749"/>
    <cellStyle name="—_GS_DCF_Global Wireless1_CSC May 20_13 Valuation Model incl. new BP" xfId="2750"/>
    <cellStyle name="—_GS_DCF_Global Wireless1_CSC May 20_14 Valuation Model incl. new BP" xfId="2751"/>
    <cellStyle name="—_GS_DCF_Global Wireless1_CSC May 20_15_ Clean LBO Model" xfId="2752"/>
    <cellStyle name="—_GS_DCF_Global Wireless1_CSC May 20_20 Valuation Model incl. new BP" xfId="2753"/>
    <cellStyle name="—_GS_DCF_Global Wireless1_CSC May 20_25 Valuation Model incl. new BP" xfId="2754"/>
    <cellStyle name="—_GS_DCF_Global Wireless1_CSC May 20_33 Valuation Model incl. new BP" xfId="2755"/>
    <cellStyle name="—_GS_DCF_Global Wireless1_CSC May 20_34 Valuation Model incl. new BP" xfId="2756"/>
    <cellStyle name="—_GS_DCF_Global Wireless1_CSC May 20_37 Valuation Model incl. new BP" xfId="2757"/>
    <cellStyle name="—_GS_DCF_Global Wireless1_CSC May 20_38 Valuation Model incl. new BP" xfId="2758"/>
    <cellStyle name="—_GS_DCF_Global Wireless1_CSC May 20_39 Valuation Model incl. new BP" xfId="2759"/>
    <cellStyle name="—_GS_DCF_Global Wireless1_CSC May 20_40 Valuation Model incl. new BP" xfId="2760"/>
    <cellStyle name="—_GS_DCF_Global Wireless1_CSC May 20_44 Valuation Model incl. new BP" xfId="2761"/>
    <cellStyle name="—_GS_PNL" xfId="2762"/>
    <cellStyle name="—_GS_PNL_03_ Clean LBO Model" xfId="2763"/>
    <cellStyle name="—_GS_PNL_05_ Clean LBO Model" xfId="2764"/>
    <cellStyle name="—_GS_PNL_08 Valuation Model incl. new BP" xfId="2765"/>
    <cellStyle name="—_GS_PNL_09 Valuation Model incl. new BP" xfId="2766"/>
    <cellStyle name="—_GS_PNL_13 Valuation Model incl. new BP" xfId="2767"/>
    <cellStyle name="—_GS_PNL_14 Valuation Model incl. new BP" xfId="2768"/>
    <cellStyle name="—_GS_PNL_15_ Clean LBO Model" xfId="2769"/>
    <cellStyle name="—_GS_PNL_20 Valuation Model incl. new BP" xfId="2770"/>
    <cellStyle name="—_GS_PNL_25 Valuation Model incl. new BP" xfId="2771"/>
    <cellStyle name="—_GS_PNL_33 Valuation Model incl. new BP" xfId="2772"/>
    <cellStyle name="—_GS_PNL_34 Valuation Model incl. new BP" xfId="2773"/>
    <cellStyle name="—_GS_PNL_37 Valuation Model incl. new BP" xfId="2774"/>
    <cellStyle name="—_GS_PNL_38 Valuation Model incl. new BP" xfId="2775"/>
    <cellStyle name="—_GS_PNL_39 Valuation Model incl. new BP" xfId="2776"/>
    <cellStyle name="—_GS_PNL_40 Valuation Model incl. new BP" xfId="2777"/>
    <cellStyle name="—_GS_PNL_44 Valuation Model incl. new BP" xfId="2778"/>
    <cellStyle name="—_GS_PNL_Global Wireless1" xfId="2779"/>
    <cellStyle name="—_GS_PNL_Global Wireless1_03 CSC May 20" xfId="2780"/>
    <cellStyle name="—_GS_PNL_Global Wireless1_03 CSC May 20_03_ Clean LBO Model" xfId="2781"/>
    <cellStyle name="—_GS_PNL_Global Wireless1_03 CSC May 20_05_ Clean LBO Model" xfId="2782"/>
    <cellStyle name="—_GS_PNL_Global Wireless1_03 CSC May 20_08 Valuation Model incl. new BP" xfId="2783"/>
    <cellStyle name="—_GS_PNL_Global Wireless1_03 CSC May 20_09 Valuation Model incl. new BP" xfId="2784"/>
    <cellStyle name="—_GS_PNL_Global Wireless1_03 CSC May 20_13 Valuation Model incl. new BP" xfId="2785"/>
    <cellStyle name="—_GS_PNL_Global Wireless1_03 CSC May 20_14 Valuation Model incl. new BP" xfId="2786"/>
    <cellStyle name="—_GS_PNL_Global Wireless1_03 CSC May 20_15_ Clean LBO Model" xfId="2787"/>
    <cellStyle name="—_GS_PNL_Global Wireless1_03 CSC May 20_20 Valuation Model incl. new BP" xfId="2788"/>
    <cellStyle name="—_GS_PNL_Global Wireless1_03 CSC May 20_25 Valuation Model incl. new BP" xfId="2789"/>
    <cellStyle name="—_GS_PNL_Global Wireless1_03 CSC May 20_33 Valuation Model incl. new BP" xfId="2790"/>
    <cellStyle name="—_GS_PNL_Global Wireless1_03 CSC May 20_34 Valuation Model incl. new BP" xfId="2791"/>
    <cellStyle name="—_GS_PNL_Global Wireless1_03 CSC May 20_37 Valuation Model incl. new BP" xfId="2792"/>
    <cellStyle name="—_GS_PNL_Global Wireless1_03 CSC May 20_38 Valuation Model incl. new BP" xfId="2793"/>
    <cellStyle name="—_GS_PNL_Global Wireless1_03 CSC May 20_39 Valuation Model incl. new BP" xfId="2794"/>
    <cellStyle name="—_GS_PNL_Global Wireless1_03 CSC May 20_40 Valuation Model incl. new BP" xfId="2795"/>
    <cellStyle name="—_GS_PNL_Global Wireless1_03 CSC May 20_44 Valuation Model incl. new BP" xfId="2796"/>
    <cellStyle name="—_GS_PNL_Global Wireless1_03_ Clean LBO Model" xfId="2797"/>
    <cellStyle name="—_GS_PNL_Global Wireless1_05_ Clean LBO Model" xfId="2798"/>
    <cellStyle name="—_GS_PNL_Global Wireless1_08 Valuation Model incl. new BP" xfId="2799"/>
    <cellStyle name="—_GS_PNL_Global Wireless1_09 Valuation Model incl. new BP" xfId="2800"/>
    <cellStyle name="—_GS_PNL_Global Wireless1_13 Valuation Model incl. new BP" xfId="2801"/>
    <cellStyle name="—_GS_PNL_Global Wireless1_14 Valuation Model incl. new BP" xfId="2802"/>
    <cellStyle name="—_GS_PNL_Global Wireless1_15_ Clean LBO Model" xfId="2803"/>
    <cellStyle name="—_GS_PNL_Global Wireless1_20 Valuation Model incl. new BP" xfId="2804"/>
    <cellStyle name="—_GS_PNL_Global Wireless1_25 Valuation Model incl. new BP" xfId="2805"/>
    <cellStyle name="—_GS_PNL_Global Wireless1_33 Valuation Model incl. new BP" xfId="2806"/>
    <cellStyle name="—_GS_PNL_Global Wireless1_34 Valuation Model incl. new BP" xfId="2807"/>
    <cellStyle name="—_GS_PNL_Global Wireless1_37 Valuation Model incl. new BP" xfId="2808"/>
    <cellStyle name="—_GS_PNL_Global Wireless1_38 Valuation Model incl. new BP" xfId="2809"/>
    <cellStyle name="—_GS_PNL_Global Wireless1_39 Valuation Model incl. new BP" xfId="2810"/>
    <cellStyle name="—_GS_PNL_Global Wireless1_40 Valuation Model incl. new BP" xfId="2811"/>
    <cellStyle name="—_GS_PNL_Global Wireless1_44 Valuation Model incl. new BP" xfId="2812"/>
    <cellStyle name="—_GS_PNL_Global Wireless1_CSC May 20" xfId="2813"/>
    <cellStyle name="—_GS_PNL_Global Wireless1_CSC May 20_03_ Clean LBO Model" xfId="2814"/>
    <cellStyle name="—_GS_PNL_Global Wireless1_CSC May 20_05_ Clean LBO Model" xfId="2815"/>
    <cellStyle name="—_GS_PNL_Global Wireless1_CSC May 20_08 Valuation Model incl. new BP" xfId="2816"/>
    <cellStyle name="—_GS_PNL_Global Wireless1_CSC May 20_09 Valuation Model incl. new BP" xfId="2817"/>
    <cellStyle name="—_GS_PNL_Global Wireless1_CSC May 20_13 Valuation Model incl. new BP" xfId="2818"/>
    <cellStyle name="—_GS_PNL_Global Wireless1_CSC May 20_14 Valuation Model incl. new BP" xfId="2819"/>
    <cellStyle name="—_GS_PNL_Global Wireless1_CSC May 20_15_ Clean LBO Model" xfId="2820"/>
    <cellStyle name="—_GS_PNL_Global Wireless1_CSC May 20_20 Valuation Model incl. new BP" xfId="2821"/>
    <cellStyle name="—_GS_PNL_Global Wireless1_CSC May 20_25 Valuation Model incl. new BP" xfId="2822"/>
    <cellStyle name="—_GS_PNL_Global Wireless1_CSC May 20_33 Valuation Model incl. new BP" xfId="2823"/>
    <cellStyle name="—_GS_PNL_Global Wireless1_CSC May 20_34 Valuation Model incl. new BP" xfId="2824"/>
    <cellStyle name="—_GS_PNL_Global Wireless1_CSC May 20_37 Valuation Model incl. new BP" xfId="2825"/>
    <cellStyle name="—_GS_PNL_Global Wireless1_CSC May 20_38 Valuation Model incl. new BP" xfId="2826"/>
    <cellStyle name="—_GS_PNL_Global Wireless1_CSC May 20_39 Valuation Model incl. new BP" xfId="2827"/>
    <cellStyle name="—_GS_PNL_Global Wireless1_CSC May 20_40 Valuation Model incl. new BP" xfId="2828"/>
    <cellStyle name="—_GS_PNL_Global Wireless1_CSC May 20_44 Valuation Model incl. new BP" xfId="2829"/>
    <cellStyle name="_H&amp;F" xfId="2066"/>
    <cellStyle name="_H&amp;F_Covenants_draft_260412" xfId="2067"/>
    <cellStyle name="_H&amp;F_Head Office Pack - Draft 1" xfId="2068"/>
    <cellStyle name="_H&amp;F_Head Office Pack - Draft 4" xfId="2069"/>
    <cellStyle name="_H&amp;F_Property Budget 2011" xfId="2070"/>
    <cellStyle name="_H&amp;F_Property Budget 2011_Covenants_draft_260412" xfId="2071"/>
    <cellStyle name="_H&amp;F_Property Budget 2011_Marketing &amp; Product" xfId="2072"/>
    <cellStyle name="_H&amp;F_Sheet1" xfId="2073"/>
    <cellStyle name="_Head Office Pack - Draft 1" xfId="2074"/>
    <cellStyle name="_Head Office Pack - Draft 1_Covenants_draft_260412" xfId="2075"/>
    <cellStyle name="_Header" xfId="219"/>
    <cellStyle name="_Header_021202External Sales 2000_2001_DA_feste Werte" xfId="220"/>
    <cellStyle name="_Header_Balance Sheet_restl. Eurowährungsl._Gruppe" xfId="221"/>
    <cellStyle name="_Header_Bank case Viking (sent to JPM 10 Nov 05)" xfId="222"/>
    <cellStyle name="_Header_Banks (2)" xfId="223"/>
    <cellStyle name="_Header_EBITDA-Recon P&amp;L OPSP04-08_GX" xfId="224"/>
    <cellStyle name="_Header_Feeder" xfId="225"/>
    <cellStyle name="_Header_Financial ratios_Euroland" xfId="226"/>
    <cellStyle name="_Header_GX OPSP0509 incl. Zurückdrehen Subsidies NVM" xfId="227"/>
    <cellStyle name="_Header_GX Plan" xfId="228"/>
    <cellStyle name="_Header_Headcount" xfId="229"/>
    <cellStyle name="_Header_Headcount_Monthly report" xfId="230"/>
    <cellStyle name="_Header_Konsolidierungsbeträge" xfId="231"/>
    <cellStyle name="_Header_LTMJUN02" xfId="232"/>
    <cellStyle name="_Header_M&amp;A Model" xfId="233"/>
    <cellStyle name="_Header_M&amp;A projections" xfId="234"/>
    <cellStyle name="_Header_MIS Reporting_Budget_JD" xfId="235"/>
    <cellStyle name="_Header_New Gerresheimer bank plan (sent to JPM 26 Nov 05)" xfId="236"/>
    <cellStyle name="_Header_P&amp;L bank model - received from Gerresheimer 1 12 05" xfId="237"/>
    <cellStyle name="_Header_Plan model" xfId="238"/>
    <cellStyle name="_Header_Quarterly" xfId="239"/>
    <cellStyle name="_Header_Tabelle1" xfId="240"/>
    <cellStyle name="_Header_TSG2" xfId="241"/>
    <cellStyle name="_Header_Update 2004 Figures v2 (sent to banks)" xfId="242"/>
    <cellStyle name="_Header_WC benchmark Calc" xfId="243"/>
    <cellStyle name="_Header_Zins und Bankschuldenberechnung_03_07" xfId="244"/>
    <cellStyle name="_Heading" xfId="245"/>
    <cellStyle name="_Heading_01 Capital Structure" xfId="2830"/>
    <cellStyle name="_Heading_01 Capital Structure_03_ Clean LBO Model" xfId="2831"/>
    <cellStyle name="_Heading_01 Capital Structure_05_ Clean LBO Model" xfId="2832"/>
    <cellStyle name="_Heading_01 Capital Structure_08 Valuation Model incl. new BP" xfId="2833"/>
    <cellStyle name="_Heading_01 Capital Structure_09 Valuation Model incl. new BP" xfId="2834"/>
    <cellStyle name="_Heading_01 Capital Structure_13 Valuation Model incl. new BP" xfId="2835"/>
    <cellStyle name="_Heading_01 Capital Structure_14 Valuation Model incl. new BP" xfId="2836"/>
    <cellStyle name="_Heading_01 Capital Structure_15_ Clean LBO Model" xfId="2837"/>
    <cellStyle name="_Heading_01 Capital Structure_20 Valuation Model incl. new BP" xfId="2838"/>
    <cellStyle name="_Heading_01 Capital Structure_25 Valuation Model incl. new BP" xfId="2839"/>
    <cellStyle name="_Heading_01 Capital Structure_33 Valuation Model incl. new BP" xfId="2840"/>
    <cellStyle name="_Heading_01 Capital Structure_34 Valuation Model incl. new BP" xfId="2841"/>
    <cellStyle name="_Heading_01 Capital Structure_37 Valuation Model incl. new BP" xfId="2842"/>
    <cellStyle name="_Heading_01 Capital Structure_38 Valuation Model incl. new BP" xfId="2843"/>
    <cellStyle name="_Heading_01 Capital Structure_39 Valuation Model incl. new BP" xfId="2844"/>
    <cellStyle name="_Heading_01 Capital Structure_40 Valuation Model incl. new BP" xfId="2845"/>
    <cellStyle name="_Heading_01 Capital Structure_44 Valuation Model incl. new BP" xfId="2846"/>
    <cellStyle name="_Heading_01 Offering Breakdown" xfId="2847"/>
    <cellStyle name="_Heading_02 Enersys Merger Plan" xfId="2848"/>
    <cellStyle name="_Heading_02 Enersys Merger Plan_03_ Clean LBO Model" xfId="2849"/>
    <cellStyle name="_Heading_02 Enersys Merger Plan_05_ Clean LBO Model" xfId="2850"/>
    <cellStyle name="_Heading_02 Enersys Merger Plan_08 Valuation Model incl. new BP" xfId="2851"/>
    <cellStyle name="_Heading_02 Enersys Merger Plan_09 Valuation Model incl. new BP" xfId="2852"/>
    <cellStyle name="_Heading_02 Enersys Merger Plan_13 Valuation Model incl. new BP" xfId="2853"/>
    <cellStyle name="_Heading_02 Enersys Merger Plan_14 Valuation Model incl. new BP" xfId="2854"/>
    <cellStyle name="_Heading_02 Enersys Merger Plan_15_ Clean LBO Model" xfId="2855"/>
    <cellStyle name="_Heading_02 Enersys Merger Plan_20 Valuation Model incl. new BP" xfId="2856"/>
    <cellStyle name="_Heading_02 Enersys Merger Plan_25 Valuation Model incl. new BP" xfId="2857"/>
    <cellStyle name="_Heading_02 Enersys Merger Plan_33 Valuation Model incl. new BP" xfId="2858"/>
    <cellStyle name="_Heading_02 Enersys Merger Plan_34 Valuation Model incl. new BP" xfId="2859"/>
    <cellStyle name="_Heading_02 Enersys Merger Plan_37 Valuation Model incl. new BP" xfId="2860"/>
    <cellStyle name="_Heading_02 Enersys Merger Plan_38 Valuation Model incl. new BP" xfId="2861"/>
    <cellStyle name="_Heading_02 Enersys Merger Plan_39 Valuation Model incl. new BP" xfId="2862"/>
    <cellStyle name="_Heading_02 Enersys Merger Plan_40 Valuation Model incl. new BP" xfId="2863"/>
    <cellStyle name="_Heading_02 Enersys Merger Plan_44 Valuation Model incl. new BP" xfId="2864"/>
    <cellStyle name="_Heading_02 TDC Merger Plan" xfId="2865"/>
    <cellStyle name="_Heading_02 TDC Merger Plan_03_ Clean LBO Model" xfId="2866"/>
    <cellStyle name="_Heading_02 TDC Merger Plan_05_ Clean LBO Model" xfId="2867"/>
    <cellStyle name="_Heading_02 TDC Merger Plan_08 Valuation Model incl. new BP" xfId="2868"/>
    <cellStyle name="_Heading_02 TDC Merger Plan_09 Valuation Model incl. new BP" xfId="2869"/>
    <cellStyle name="_Heading_02 TDC Merger Plan_13 Valuation Model incl. new BP" xfId="2870"/>
    <cellStyle name="_Heading_02 TDC Merger Plan_14 Valuation Model incl. new BP" xfId="2871"/>
    <cellStyle name="_Heading_02 TDC Merger Plan_15_ Clean LBO Model" xfId="2872"/>
    <cellStyle name="_Heading_02 TDC Merger Plan_20 Valuation Model incl. new BP" xfId="2873"/>
    <cellStyle name="_Heading_02 TDC Merger Plan_25 Valuation Model incl. new BP" xfId="2874"/>
    <cellStyle name="_Heading_02 TDC Merger Plan_33 Valuation Model incl. new BP" xfId="2875"/>
    <cellStyle name="_Heading_02 TDC Merger Plan_34 Valuation Model incl. new BP" xfId="2876"/>
    <cellStyle name="_Heading_02 TDC Merger Plan_37 Valuation Model incl. new BP" xfId="2877"/>
    <cellStyle name="_Heading_02 TDC Merger Plan_38 Valuation Model incl. new BP" xfId="2878"/>
    <cellStyle name="_Heading_02 TDC Merger Plan_39 Valuation Model incl. new BP" xfId="2879"/>
    <cellStyle name="_Heading_02 TDC Merger Plan_40 Valuation Model incl. new BP" xfId="2880"/>
    <cellStyle name="_Heading_02 TDC Merger Plan_44 Valuation Model incl. new BP" xfId="2881"/>
    <cellStyle name="_Heading_02 WACC Analysis" xfId="246"/>
    <cellStyle name="_Heading_03 Total Expenses" xfId="2882"/>
    <cellStyle name="_Heading_04 Volatility" xfId="2883"/>
    <cellStyle name="_Heading_16 Detail of Key Metrics_mario marco" xfId="2076"/>
    <cellStyle name="_Heading_19 Valuation of Cegetel" xfId="2884"/>
    <cellStyle name="_Heading_19 Valuation of Cegetel_03_ Clean LBO Model" xfId="2885"/>
    <cellStyle name="_Heading_19 Valuation of Cegetel_05_ Clean LBO Model" xfId="2886"/>
    <cellStyle name="_Heading_19 Valuation of Cegetel_08 Valuation Model incl. new BP" xfId="2887"/>
    <cellStyle name="_Heading_19 Valuation of Cegetel_09 Valuation Model incl. new BP" xfId="2888"/>
    <cellStyle name="_Heading_19 Valuation of Cegetel_13 Valuation Model incl. new BP" xfId="2889"/>
    <cellStyle name="_Heading_19 Valuation of Cegetel_14 Valuation Model incl. new BP" xfId="2890"/>
    <cellStyle name="_Heading_19 Valuation of Cegetel_15_ Clean LBO Model" xfId="2891"/>
    <cellStyle name="_Heading_19 Valuation of Cegetel_20 Valuation Model incl. new BP" xfId="2892"/>
    <cellStyle name="_Heading_19 Valuation of Cegetel_25 Valuation Model incl. new BP" xfId="2893"/>
    <cellStyle name="_Heading_19 Valuation of Cegetel_33 Valuation Model incl. new BP" xfId="2894"/>
    <cellStyle name="_Heading_19 Valuation of Cegetel_34 Valuation Model incl. new BP" xfId="2895"/>
    <cellStyle name="_Heading_19 Valuation of Cegetel_37 Valuation Model incl. new BP" xfId="2896"/>
    <cellStyle name="_Heading_19 Valuation of Cegetel_38 Valuation Model incl. new BP" xfId="2897"/>
    <cellStyle name="_Heading_19 Valuation of Cegetel_39 Valuation Model incl. new BP" xfId="2898"/>
    <cellStyle name="_Heading_19 Valuation of Cegetel_40 Valuation Model incl. new BP" xfId="2899"/>
    <cellStyle name="_Heading_19 Valuation of Cegetel_44 Valuation Model incl. new BP" xfId="2900"/>
    <cellStyle name="_Heading_20 Operational Model" xfId="2901"/>
    <cellStyle name="_Heading_44 Valuation Model incl. new BP" xfId="2902"/>
    <cellStyle name="_Heading_Betas" xfId="247"/>
    <cellStyle name="_Heading_Cairo LBO model - Sept 06" xfId="248"/>
    <cellStyle name="_Heading_Numico GS Research Model 23-Aug-2002" xfId="2903"/>
    <cellStyle name="_Heading_Numico GS Research Model 23-Aug-2002_03_ Clean LBO Model" xfId="2904"/>
    <cellStyle name="_Heading_Numico GS Research Model 23-Aug-2002_05_ Clean LBO Model" xfId="2905"/>
    <cellStyle name="_Heading_Numico GS Research Model 23-Aug-2002_08 Valuation Model incl. new BP" xfId="2906"/>
    <cellStyle name="_Heading_Numico GS Research Model 23-Aug-2002_09 Valuation Model incl. new BP" xfId="2907"/>
    <cellStyle name="_Heading_Numico GS Research Model 23-Aug-2002_13 Valuation Model incl. new BP" xfId="2908"/>
    <cellStyle name="_Heading_Numico GS Research Model 23-Aug-2002_14 Valuation Model incl. new BP" xfId="2909"/>
    <cellStyle name="_Heading_Numico GS Research Model 23-Aug-2002_15_ Clean LBO Model" xfId="2910"/>
    <cellStyle name="_Heading_Numico GS Research Model 23-Aug-2002_20 Valuation Model incl. new BP" xfId="2911"/>
    <cellStyle name="_Heading_Numico GS Research Model 23-Aug-2002_25 Valuation Model incl. new BP" xfId="2912"/>
    <cellStyle name="_Heading_Numico GS Research Model 23-Aug-2002_33 Valuation Model incl. new BP" xfId="2913"/>
    <cellStyle name="_Heading_Numico GS Research Model 23-Aug-2002_34 Valuation Model incl. new BP" xfId="2914"/>
    <cellStyle name="_Heading_Numico GS Research Model 23-Aug-2002_37 Valuation Model incl. new BP" xfId="2915"/>
    <cellStyle name="_Heading_Numico GS Research Model 23-Aug-2002_38 Valuation Model incl. new BP" xfId="2916"/>
    <cellStyle name="_Heading_Numico GS Research Model 23-Aug-2002_39 Valuation Model incl. new BP" xfId="2917"/>
    <cellStyle name="_Heading_Numico GS Research Model 23-Aug-2002_40 Valuation Model incl. new BP" xfId="2918"/>
    <cellStyle name="_Heading_Numico GS Research Model 23-Aug-2002_44 Valuation Model incl. new BP" xfId="2919"/>
    <cellStyle name="_Heading_Numico GS Research Model 23-Aug-2002_CSC July 24" xfId="2920"/>
    <cellStyle name="_Heading_Offering Breakdown - 09-Jun -2005" xfId="2921"/>
    <cellStyle name="_Heading_prestemp" xfId="249"/>
    <cellStyle name="_Heading_StockGroupKeyFinancials" xfId="250"/>
    <cellStyle name="_Heading_Volatility" xfId="2922"/>
    <cellStyle name="_Headline" xfId="2923"/>
    <cellStyle name="_Highlight" xfId="251"/>
    <cellStyle name="_IT Budget detail" xfId="2077"/>
    <cellStyle name="_JV Model2" xfId="252"/>
    <cellStyle name="_KPN Fixed" xfId="2924"/>
    <cellStyle name="_KPN-germany" xfId="2925"/>
    <cellStyle name="_KPN-germany_CSC July 24" xfId="2926"/>
    <cellStyle name="_KPN-germany_CSC July 24_03_ Clean LBO Model" xfId="2927"/>
    <cellStyle name="_KPN-germany_CSC July 24_05_ Clean LBO Model" xfId="2928"/>
    <cellStyle name="_KPN-germany_CSC July 24_08 Valuation Model incl. new BP" xfId="2929"/>
    <cellStyle name="_KPN-germany_CSC July 24_09 Valuation Model incl. new BP" xfId="2930"/>
    <cellStyle name="_KPN-germany_CSC July 24_13 Valuation Model incl. new BP" xfId="2931"/>
    <cellStyle name="_KPN-germany_CSC July 24_14 Valuation Model incl. new BP" xfId="2932"/>
    <cellStyle name="_KPN-germany_CSC July 24_15_ Clean LBO Model" xfId="2933"/>
    <cellStyle name="_KPN-germany_CSC July 24_20 Valuation Model incl. new BP" xfId="2934"/>
    <cellStyle name="_KPN-germany_CSC July 24_25 Valuation Model incl. new BP" xfId="2935"/>
    <cellStyle name="_KPN-germany_CSC July 24_33 Valuation Model incl. new BP" xfId="2936"/>
    <cellStyle name="_KPN-germany_CSC July 24_34 Valuation Model incl. new BP" xfId="2937"/>
    <cellStyle name="_KPN-germany_CSC July 24_37 Valuation Model incl. new BP" xfId="2938"/>
    <cellStyle name="_KPN-germany_CSC July 24_38 Valuation Model incl. new BP" xfId="2939"/>
    <cellStyle name="_KPN-germany_CSC July 24_39 Valuation Model incl. new BP" xfId="2940"/>
    <cellStyle name="_KPN-germany_CSC July 24_40 Valuation Model incl. new BP" xfId="2941"/>
    <cellStyle name="_KPN-germany_CSC July 24_44 Valuation Model incl. new BP" xfId="2942"/>
    <cellStyle name="_labour pg for 2010 club model" xfId="2078"/>
    <cellStyle name="_labour pg for 2010 club model_Covenants_draft_260412" xfId="2079"/>
    <cellStyle name="_labour pg for 2010 club model_Head Office Pack - Draft 1" xfId="2080"/>
    <cellStyle name="_labour pg for 2010 club model_Head Office Pack - Draft 4" xfId="2081"/>
    <cellStyle name="_labour pg for 2010 club model_Sheet1" xfId="2082"/>
    <cellStyle name="_LBOCombOpCo_v72_Anglo" xfId="2083"/>
    <cellStyle name="_Leeds_2010_Rates" xfId="2084"/>
    <cellStyle name="_Leeds_2010_Rates_Book2" xfId="2085"/>
    <cellStyle name="_Leeds_2010_Rates_Covenants_draft_260412" xfId="2086"/>
    <cellStyle name="_Leeds_2010_Rates_Internal" xfId="2087"/>
    <cellStyle name="_Leeds_2010_Rates_Internal 1" xfId="2088"/>
    <cellStyle name="_Leeds_2010_Rates_Internal 1_Projections Pack" xfId="2089"/>
    <cellStyle name="_Leeds_2010_Rates_Internal 1_Projections Pack (TM)" xfId="2090"/>
    <cellStyle name="_Leeds_2010_Rates_Internal 1_Quasi Rent Illustration" xfId="2091"/>
    <cellStyle name="_Leeds_2010_Rates_Internal_Projections Pack" xfId="2092"/>
    <cellStyle name="_Leeds_2010_Rates_Internal_Projections Pack (TM)" xfId="2093"/>
    <cellStyle name="_Leeds_2010_Rates_Internal_Quasi Rent Illustration" xfId="2094"/>
    <cellStyle name="_Leeds_2010_Rates_PAR overlay" xfId="2095"/>
    <cellStyle name="_Leeds_2010_Rates_PAR overlay_Projections Pack" xfId="2096"/>
    <cellStyle name="_Leeds_2010_Rates_PAR overlay_Projections Pack (TM)" xfId="2097"/>
    <cellStyle name="_Leeds_2010_Rates_PAR overlay_Quasi Rent Illustration" xfId="2098"/>
    <cellStyle name="_Leeds_2010_Rates_Sceanrio 2 Update - Dec 2nd" xfId="2099"/>
    <cellStyle name="_Leeds_2010_Rates_Sceanrio 2 Update - Dec 2nd_Projections Pack" xfId="2100"/>
    <cellStyle name="_Leeds_2010_Rates_Sceanrio 2 Update - Dec 2nd_Projections Pack (TM)" xfId="2101"/>
    <cellStyle name="_Leeds_2010_Rates_Sceanrio 2 Update - Dec 2nd_Quasi Rent Illustration" xfId="2102"/>
    <cellStyle name="_Licences" xfId="2103"/>
    <cellStyle name="_Licences_Covenants_draft_260412" xfId="2104"/>
    <cellStyle name="_Licences_Head Office Pack - Draft 1" xfId="2105"/>
    <cellStyle name="_Licences_Head Office Pack - Draft 4" xfId="2106"/>
    <cellStyle name="_Licences_Sheet1" xfId="2107"/>
    <cellStyle name="_Mal for innhenting av estimater Q4- 2002" xfId="253"/>
    <cellStyle name="_MD 1 model_blank_Augustin" xfId="254"/>
    <cellStyle name="_MTU Diesel LBO Model" xfId="255"/>
    <cellStyle name="_Multiple" xfId="256"/>
    <cellStyle name="_Multiple 5" xfId="3631"/>
    <cellStyle name="_Multiple_Betas" xfId="257"/>
    <cellStyle name="_Multiple_Betas as of 18-Apr-20022" xfId="258"/>
    <cellStyle name="_Multiple_Draft funds flow - 7 June 2005" xfId="2943"/>
    <cellStyle name="_Multiple_EXPN" xfId="259"/>
    <cellStyle name="_Multiple_MD 1 model_blank_Augustin" xfId="260"/>
    <cellStyle name="_Multiple_Offering Breakdown - 09-Jun -2005" xfId="2944"/>
    <cellStyle name="_Multiple_Offering Breakdown - 09-Jun -2005 updated" xfId="2945"/>
    <cellStyle name="_Multiple_Offering Breakdown - 19-Jun -2005 updated" xfId="2946"/>
    <cellStyle name="_Multiple_pi5" xfId="2947"/>
    <cellStyle name="_Multiple_surbid4 cloture" xfId="2948"/>
    <cellStyle name="_Multiple_surbid4 cloture_1" xfId="2949"/>
    <cellStyle name="_Multiple_surbid4 cloture_1_noos 2001 results 11jul01" xfId="2950"/>
    <cellStyle name="_Multiple_tropicos5" xfId="2951"/>
    <cellStyle name="_Multiple_voice1.xls Chart 1" xfId="2952"/>
    <cellStyle name="_Multiple_wacc" xfId="2953"/>
    <cellStyle name="_Multiple_wacc bb final" xfId="261"/>
    <cellStyle name="_Multiple_wacc bb final_Feeder" xfId="262"/>
    <cellStyle name="_Multiple_wacc bb final_M&amp;A Model" xfId="263"/>
    <cellStyle name="_MultipleSpace" xfId="264"/>
    <cellStyle name="_MultipleSpace_Betas" xfId="265"/>
    <cellStyle name="_MultipleSpace_Betas as of 18-Apr-20022" xfId="266"/>
    <cellStyle name="_MultipleSpace_Draft funds flow - 7 June 2005" xfId="2954"/>
    <cellStyle name="_MultipleSpace_EXPN" xfId="267"/>
    <cellStyle name="_MultipleSpace_George - LBO Model 3.1" xfId="268"/>
    <cellStyle name="_MultipleSpace_George - LBO Model 3.1_Feeder" xfId="269"/>
    <cellStyle name="_MultipleSpace_George - LBO Model 3.1_M&amp;A Model" xfId="270"/>
    <cellStyle name="_MultipleSpace_MD 1 model_blank_Augustin" xfId="271"/>
    <cellStyle name="_MultipleSpace_noos 2001 results 11jul01" xfId="2955"/>
    <cellStyle name="_MultipleSpace_Novartis-Roche 0805 v2" xfId="272"/>
    <cellStyle name="_MultipleSpace_Offering Breakdown - 09-Jun -2005" xfId="2956"/>
    <cellStyle name="_MultipleSpace_Offering Breakdown - 09-Jun -2005 updated" xfId="2957"/>
    <cellStyle name="_MultipleSpace_Offering Breakdown - 19-Jun -2005 updated" xfId="2958"/>
    <cellStyle name="_MultipleSpace_pi5" xfId="2959"/>
    <cellStyle name="_MultipleSpace_surbid4 cloture" xfId="2960"/>
    <cellStyle name="_MultipleSpace_surbid4 cloture_1" xfId="2961"/>
    <cellStyle name="_MultipleSpace_surbid4 cloture_1_noos 2001 results 11jul01" xfId="2962"/>
    <cellStyle name="_MultipleSpace_tropicos5" xfId="2963"/>
    <cellStyle name="_MultipleSpace_voice1.xls Chart 1" xfId="2964"/>
    <cellStyle name="_MultipleSpace_wacc" xfId="2965"/>
    <cellStyle name="_MultipleSpace_wacc bb final" xfId="273"/>
    <cellStyle name="_MultipleSpace_wacc bb final_Feeder" xfId="274"/>
    <cellStyle name="_MultipleSpace_wacc bb final_George - LBO Model 3.1" xfId="275"/>
    <cellStyle name="_MultipleSpace_wacc bb final_George - LBO Model 3.1_Feeder" xfId="276"/>
    <cellStyle name="_MultipleSpace_wacc bb final_George - LBO Model 3.1_M&amp;A Model" xfId="277"/>
    <cellStyle name="_MultipleSpace_wacc bb final_M&amp;A Model" xfId="278"/>
    <cellStyle name="_NoData" xfId="279"/>
    <cellStyle name="_North East &amp; Midlands" xfId="2108"/>
    <cellStyle name="_North East &amp; Midlands_Covenants_draft_260412" xfId="2109"/>
    <cellStyle name="_North East &amp; Midlands_Head Office Pack - Draft 1" xfId="2110"/>
    <cellStyle name="_North East &amp; Midlands_Head Office Pack - Draft 4" xfId="2111"/>
    <cellStyle name="_North East &amp; Midlands_Property Budget 2011" xfId="2112"/>
    <cellStyle name="_North East &amp; Midlands_Property Budget 2011_Covenants_draft_260412" xfId="2113"/>
    <cellStyle name="_North East &amp; Midlands_Property Budget 2011_Marketing &amp; Product" xfId="2114"/>
    <cellStyle name="_North East &amp; Midlands_Sheet1" xfId="2115"/>
    <cellStyle name="_October Scorecard" xfId="2116"/>
    <cellStyle name="_Pay as you Can logic for LBO" xfId="280"/>
    <cellStyle name="_Percent" xfId="281"/>
    <cellStyle name="_Percent_pi5" xfId="2966"/>
    <cellStyle name="_Percent_surbid4 cloture" xfId="2967"/>
    <cellStyle name="_Percent_surbid4 cloture_noos 2001 results 11jul01" xfId="2968"/>
    <cellStyle name="_Percent_temp templates2" xfId="282"/>
    <cellStyle name="_Percent_tropicos5" xfId="2969"/>
    <cellStyle name="_Percent_voice1.xls Chart 1" xfId="2970"/>
    <cellStyle name="_Percent_wacc" xfId="2971"/>
    <cellStyle name="_PercentSpace" xfId="283"/>
    <cellStyle name="_PercentSpace_George - LBO Model 3.1" xfId="284"/>
    <cellStyle name="_PercentSpace_pi5" xfId="2972"/>
    <cellStyle name="_PercentSpace_surbid4 cloture" xfId="2973"/>
    <cellStyle name="_PercentSpace_surbid4 cloture_1" xfId="2974"/>
    <cellStyle name="_PercentSpace_surbid4 cloture_1_noos 2001 results 11jul01" xfId="2975"/>
    <cellStyle name="_PercentSpace_surbid4 cloture_noos 2001 results 11jul01" xfId="2976"/>
    <cellStyle name="_PercentSpace_tropicos5" xfId="2977"/>
    <cellStyle name="_PercentSpace_voice1.xls Chart 1" xfId="2978"/>
    <cellStyle name="_PercentSpace_wacc" xfId="2979"/>
    <cellStyle name="_PercentSpace_wacc bb final" xfId="285"/>
    <cellStyle name="_PercentSpace_wacc bb final_Feeder" xfId="286"/>
    <cellStyle name="_PercentSpace_wacc bb final_George - LBO Model 3.1" xfId="287"/>
    <cellStyle name="_PercentSpace_wacc bb final_George - LBO Model 3.1_Feeder" xfId="288"/>
    <cellStyle name="_PercentSpace_wacc bb final_George - LBO Model 3.1_M&amp;A Model" xfId="289"/>
    <cellStyle name="_PercentSpace_wacc bb final_M&amp;A Model" xfId="290"/>
    <cellStyle name="_Property Budget 2011" xfId="2117"/>
    <cellStyle name="_Property PPM Budgets - 2009" xfId="2118"/>
    <cellStyle name="_Property PPM Budgets - 2009_Covenants_draft_260412" xfId="2119"/>
    <cellStyle name="_Property PPM Budgets - 2009_Head Office Pack - Draft 1" xfId="2120"/>
    <cellStyle name="_Property PPM Budgets - 2009_Head Office Pack - Draft 4" xfId="2121"/>
    <cellStyle name="_Property PPM Budgets - 2009_Sheet1" xfId="2122"/>
    <cellStyle name="_Repairs &amp; Maintenance" xfId="2123"/>
    <cellStyle name="_Repairs &amp; Maintenance_Covenants_draft_260412" xfId="2124"/>
    <cellStyle name="_Repairs &amp; Maintenance_Head Office Pack - Draft 1" xfId="2125"/>
    <cellStyle name="_Repairs &amp; Maintenance_Head Office Pack - Draft 4" xfId="2126"/>
    <cellStyle name="_Repairs &amp; Maintenance_Sheet1" xfId="2127"/>
    <cellStyle name="_Row1" xfId="291"/>
    <cellStyle name="_Row1_Bank case Viking (sent to JPM 10 Nov 05)" xfId="292"/>
    <cellStyle name="_Row1_Banks (2)" xfId="293"/>
    <cellStyle name="_Row1_Book2" xfId="2128"/>
    <cellStyle name="_Row1_Covenants_draft_260412" xfId="2129"/>
    <cellStyle name="_Row1_DRAFT 11" xfId="2130"/>
    <cellStyle name="_Row1_DRAFT 11_Covenants_draft_260412" xfId="2131"/>
    <cellStyle name="_Row1_DRAFT 11_Marketing &amp; Product" xfId="2132"/>
    <cellStyle name="_Row1_EBITDA-Recon P&amp;L OPSP04-08_GX" xfId="294"/>
    <cellStyle name="_Row1_Feeder" xfId="295"/>
    <cellStyle name="_Row1_Financial ratios_Euroland" xfId="296"/>
    <cellStyle name="_Row1_GX evaluation without pensions" xfId="297"/>
    <cellStyle name="_Row1_GX OPSP0509 incl. Zurückdrehen Subsidies NVM" xfId="298"/>
    <cellStyle name="_Row1_GX Plan" xfId="299"/>
    <cellStyle name="_Row1_Head Office Pack - Draft 1" xfId="2133"/>
    <cellStyle name="_Row1_Head Office Pack - Draft 4" xfId="2134"/>
    <cellStyle name="_Row1_Headcount" xfId="300"/>
    <cellStyle name="_Row1_Headcount_Monthly report" xfId="301"/>
    <cellStyle name="_Row1_Internal" xfId="2135"/>
    <cellStyle name="_Row1_Internal 1" xfId="2136"/>
    <cellStyle name="_Row1_Internal 1_Projections Pack" xfId="2137"/>
    <cellStyle name="_Row1_Internal 1_Projections Pack (TM)" xfId="2138"/>
    <cellStyle name="_Row1_Internal 1_Quasi Rent Illustration" xfId="2139"/>
    <cellStyle name="_Row1_Internal_Projections Pack" xfId="2140"/>
    <cellStyle name="_Row1_Internal_Projections Pack (TM)" xfId="2141"/>
    <cellStyle name="_Row1_Internal_Quasi Rent Illustration" xfId="2142"/>
    <cellStyle name="_Row1_IT Budget 2011" xfId="2143"/>
    <cellStyle name="_Row1_IT Budget Master 2011 - Draft V2 1 (2)" xfId="2144"/>
    <cellStyle name="_Row1_Konsolidierungsbeträge" xfId="302"/>
    <cellStyle name="_Row1_LTMJUN02" xfId="303"/>
    <cellStyle name="_Row1_M&amp;A Model" xfId="304"/>
    <cellStyle name="_Row1_M&amp;A projections" xfId="305"/>
    <cellStyle name="_Row1_MIS Reporting_Budget_JD" xfId="306"/>
    <cellStyle name="_Row1_Net Gain Review Pack - 28th Sept" xfId="2145"/>
    <cellStyle name="_Row1_New Gerresheimer bank plan (sent to JPM 26 Nov 05)" xfId="307"/>
    <cellStyle name="_Row1_P&amp;L bank model - received from Gerresheimer 1 12 05" xfId="308"/>
    <cellStyle name="_Row1_PAR overlay" xfId="2146"/>
    <cellStyle name="_Row1_PAR overlay_Projections Pack" xfId="2147"/>
    <cellStyle name="_Row1_PAR overlay_Projections Pack (TM)" xfId="2148"/>
    <cellStyle name="_Row1_PAR overlay_Quasi Rent Illustration" xfId="2149"/>
    <cellStyle name="_Row1_Plan model" xfId="309"/>
    <cellStyle name="_Row1_Property Budget 2011" xfId="2150"/>
    <cellStyle name="_Row1_Property Budget 2011_Covenants_draft_260412" xfId="2151"/>
    <cellStyle name="_Row1_Property Budget 2011_Marketing &amp; Product" xfId="2152"/>
    <cellStyle name="_Row1_Quarterly" xfId="310"/>
    <cellStyle name="_Row1_Sceanrio 2 Update - Dec 2nd" xfId="2153"/>
    <cellStyle name="_Row1_Sceanrio 2 Update - Dec 2nd_Projections Pack" xfId="2154"/>
    <cellStyle name="_Row1_Sceanrio 2 Update - Dec 2nd_Projections Pack (TM)" xfId="2155"/>
    <cellStyle name="_Row1_Sceanrio 2 Update - Dec 2nd_Quasi Rent Illustration" xfId="2156"/>
    <cellStyle name="_Row1_Sheet1" xfId="2157"/>
    <cellStyle name="_Row1_Tabelle1" xfId="311"/>
    <cellStyle name="_Row1_TSG2" xfId="312"/>
    <cellStyle name="_Row1_Update 2004 Figures v2 (sent to banks)" xfId="313"/>
    <cellStyle name="_Row1_WC benchmark Calc" xfId="314"/>
    <cellStyle name="_Row1_YLC" xfId="2158"/>
    <cellStyle name="_Row1_Zins und Bankschuldenberechnung_03_07" xfId="315"/>
    <cellStyle name="_Row10" xfId="316"/>
    <cellStyle name="_Row2" xfId="317"/>
    <cellStyle name="_Row2_051003 Viking Business plan" xfId="318"/>
    <cellStyle name="_Row2_051004 Viking Business plan10" xfId="319"/>
    <cellStyle name="_Row2_Aurora LBO v25" xfId="320"/>
    <cellStyle name="_Row2_Balance Sheet_restl. Eurowährungsl._Gruppe" xfId="321"/>
    <cellStyle name="_Row2_Bank case Viking (sent to JPM 10 Nov 05)" xfId="322"/>
    <cellStyle name="_Row2_Cost Price Assumptions OPSP0509 vs OPSP0610" xfId="323"/>
    <cellStyle name="_Row2_Feeder" xfId="324"/>
    <cellStyle name="_Row2_FY 2005-2009 OP-SP Update (11-Oct-04)" xfId="325"/>
    <cellStyle name="_Row2_Key assumptions GX companies" xfId="326"/>
    <cellStyle name="_Row2_M&amp;A Model" xfId="327"/>
    <cellStyle name="_Row2_M&amp;A projections" xfId="328"/>
    <cellStyle name="_Row2_Mappe2" xfId="329"/>
    <cellStyle name="_Row2_MIS Reporting_Budget_OPSP 06-10" xfId="330"/>
    <cellStyle name="_Row2_TSG2" xfId="331"/>
    <cellStyle name="_Row3" xfId="332"/>
    <cellStyle name="_Row3_051003 Viking Business plan" xfId="333"/>
    <cellStyle name="_Row3_051004 Viking Business plan10" xfId="334"/>
    <cellStyle name="_Row3_Balance Sheet_restl. Eurowährungsl._Gruppe" xfId="335"/>
    <cellStyle name="_Row3_Bank case Viking (sent to JPM 10 Nov 05)" xfId="336"/>
    <cellStyle name="_Row3_Cost Price Assumptions OPSP0509 vs OPSP0610" xfId="337"/>
    <cellStyle name="_Row3_Feeder" xfId="338"/>
    <cellStyle name="_Row3_FY 2005-2009 OP-SP Update (11-Oct-04)" xfId="339"/>
    <cellStyle name="_Row3_Key assumptions GX companies" xfId="340"/>
    <cellStyle name="_Row3_M&amp;A Model" xfId="341"/>
    <cellStyle name="_Row3_M&amp;A projections" xfId="342"/>
    <cellStyle name="_Row3_Mappe2" xfId="343"/>
    <cellStyle name="_Row3_MIS Reporting_Budget_OPSP 06-10" xfId="344"/>
    <cellStyle name="_Row3_TSG2" xfId="345"/>
    <cellStyle name="_Row4" xfId="346"/>
    <cellStyle name="_Row4_021202External Sales 2000_2001_DA_feste Werte" xfId="347"/>
    <cellStyle name="_Row4_051003 Viking Business plan" xfId="348"/>
    <cellStyle name="_Row4_051004 Viking Business plan10" xfId="349"/>
    <cellStyle name="_Row4_3. Version 4 Bank" xfId="2159"/>
    <cellStyle name="_Row4_3. Version 4 Bank new segments" xfId="2160"/>
    <cellStyle name="_Row4_4. Version 4 Bank new segments with rollout" xfId="2161"/>
    <cellStyle name="_Row4_4. Version 4 Bank with Rollout" xfId="2162"/>
    <cellStyle name="_Row4_Bank case Viking (sent to JPM 10 Nov 05)" xfId="350"/>
    <cellStyle name="_Row4_Cost Price Assumptions OPSP0509 vs OPSP0610" xfId="351"/>
    <cellStyle name="_Row4_DRAFT 11" xfId="2163"/>
    <cellStyle name="_Row4_Feeder" xfId="352"/>
    <cellStyle name="_Row4_FY 2005-2009 OP-SP Update (11-Oct-04)" xfId="353"/>
    <cellStyle name="_Row4_IT Budget 2011" xfId="2164"/>
    <cellStyle name="_Row4_IT Budget Master 2011 - Draft V2 1 (2)" xfId="2165"/>
    <cellStyle name="_Row4_Key assumptions GX companies" xfId="354"/>
    <cellStyle name="_Row4_Konsolidierungsbeträge" xfId="355"/>
    <cellStyle name="_Row4_M&amp;A Model" xfId="356"/>
    <cellStyle name="_Row4_M&amp;A projections" xfId="357"/>
    <cellStyle name="_Row4_Mappe2" xfId="358"/>
    <cellStyle name="_Row4_MIS Reporting_Budget_OPSP 06-10" xfId="359"/>
    <cellStyle name="_Row4_Net Gain Review Pack - 28th Sept" xfId="2166"/>
    <cellStyle name="_Row4_PAR overlay" xfId="2167"/>
    <cellStyle name="_Row4_TSG2" xfId="360"/>
    <cellStyle name="_Row4_UBS Model" xfId="2168"/>
    <cellStyle name="_Row4_UBS Model - upside model" xfId="2169"/>
    <cellStyle name="_Row5" xfId="361"/>
    <cellStyle name="_Row5_021202External Sales 2000_2001_DA_feste Werte" xfId="362"/>
    <cellStyle name="_Row5_051003 Viking Business plan" xfId="363"/>
    <cellStyle name="_Row5_051004 Viking Business plan10" xfId="364"/>
    <cellStyle name="_Row5_Balance Sheet_restl. Eurowährungsl._Gruppe" xfId="365"/>
    <cellStyle name="_Row5_Bank case Viking (sent to JPM 10 Nov 05)" xfId="366"/>
    <cellStyle name="_Row5_Cost Price Assumptions OPSP0509 vs OPSP0610" xfId="367"/>
    <cellStyle name="_Row5_Feeder" xfId="368"/>
    <cellStyle name="_Row5_FY 2005-2009 OP-SP Update (11-Oct-04)" xfId="369"/>
    <cellStyle name="_Row5_Key assumptions GX companies" xfId="370"/>
    <cellStyle name="_Row5_M&amp;A Model" xfId="371"/>
    <cellStyle name="_Row5_M&amp;A projections" xfId="372"/>
    <cellStyle name="_Row5_Mappe2" xfId="373"/>
    <cellStyle name="_Row5_MIS Reporting_Budget_OPSP 06-10" xfId="374"/>
    <cellStyle name="_Row5_TSG2" xfId="375"/>
    <cellStyle name="_Row6" xfId="376"/>
    <cellStyle name="_Row6_021202External Sales 2000_2001_DA_feste Werte" xfId="377"/>
    <cellStyle name="_Row6_051003 Viking Business plan" xfId="378"/>
    <cellStyle name="_Row6_051004 Viking Business plan10" xfId="379"/>
    <cellStyle name="_Row6_Balance Sheet_restl. Eurowährungsl._Gruppe" xfId="380"/>
    <cellStyle name="_Row6_Bank case Viking (sent to JPM 10 Nov 05)" xfId="381"/>
    <cellStyle name="_Row6_Cost Price Assumptions OPSP0509 vs OPSP0610" xfId="382"/>
    <cellStyle name="_Row6_Feeder" xfId="383"/>
    <cellStyle name="_Row6_FY 2005-2009 OP-SP Update (11-Oct-04)" xfId="384"/>
    <cellStyle name="_Row6_Key assumptions GX companies" xfId="385"/>
    <cellStyle name="_Row6_M&amp;A Model" xfId="386"/>
    <cellStyle name="_Row6_M&amp;A projections" xfId="387"/>
    <cellStyle name="_Row6_Mappe2" xfId="388"/>
    <cellStyle name="_Row6_MIS Reporting_Budget_OPSP 06-10" xfId="389"/>
    <cellStyle name="_Row6_TSG2" xfId="390"/>
    <cellStyle name="_Row7" xfId="391"/>
    <cellStyle name="_Row7_021202External Sales 2000_2001_DA_feste Werte" xfId="392"/>
    <cellStyle name="_Row7_051003 Viking Business plan" xfId="393"/>
    <cellStyle name="_Row7_051004 Viking Business plan10" xfId="394"/>
    <cellStyle name="_Row7_3. Version 4 Bank" xfId="2170"/>
    <cellStyle name="_Row7_3. Version 4 Bank new segments" xfId="2171"/>
    <cellStyle name="_Row7_4. Version 4 Bank new segments with rollout" xfId="2172"/>
    <cellStyle name="_Row7_4. Version 4 Bank with Rollout" xfId="2173"/>
    <cellStyle name="_Row7_Balance Sheet_restl. Eurowährungsl._Gruppe" xfId="395"/>
    <cellStyle name="_Row7_Bank case Viking (sent to JPM 10 Nov 05)" xfId="396"/>
    <cellStyle name="_Row7_Cost Price Assumptions OPSP0509 vs OPSP0610" xfId="397"/>
    <cellStyle name="_Row7_Feeder" xfId="398"/>
    <cellStyle name="_Row7_FY 2005-2009 OP-SP Update (11-Oct-04)" xfId="399"/>
    <cellStyle name="_Row7_Key assumptions GX companies" xfId="400"/>
    <cellStyle name="_Row7_Konsolidierungsbeträge" xfId="401"/>
    <cellStyle name="_Row7_M&amp;A Model" xfId="402"/>
    <cellStyle name="_Row7_M&amp;A projections" xfId="403"/>
    <cellStyle name="_Row7_Mappe2" xfId="404"/>
    <cellStyle name="_Row7_MIS Reporting_Budget_OPSP 06-10" xfId="405"/>
    <cellStyle name="_Row7_PAR overlay" xfId="2174"/>
    <cellStyle name="_Row7_TSG2" xfId="406"/>
    <cellStyle name="_Row7_UBS Model" xfId="2175"/>
    <cellStyle name="_Row7_UBS Model - upside model" xfId="2176"/>
    <cellStyle name="_Row8" xfId="407"/>
    <cellStyle name="_Row8_021202External Sales 2000_2001_DA_feste Werte" xfId="408"/>
    <cellStyle name="_Row8_Balance Sheet_restl. Eurowährungsl._Gruppe" xfId="409"/>
    <cellStyle name="_Row8_Konsolidierungsbeträge" xfId="410"/>
    <cellStyle name="_SAB_standalone" xfId="411"/>
    <cellStyle name="_Scotland &amp; North West" xfId="2177"/>
    <cellStyle name="_Scotland &amp; North West_Covenants_draft_260412" xfId="2178"/>
    <cellStyle name="_Scotland &amp; North West_Head Office Pack - Draft 1" xfId="2179"/>
    <cellStyle name="_Scotland &amp; North West_Head Office Pack - Draft 4" xfId="2180"/>
    <cellStyle name="_Scotland &amp; North West_Property Budget 2011" xfId="2181"/>
    <cellStyle name="_Scotland &amp; North West_Property Budget 2011_Covenants_draft_260412" xfId="2182"/>
    <cellStyle name="_Scotland &amp; North West_Property Budget 2011_Marketing &amp; Product" xfId="2183"/>
    <cellStyle name="_Scotland &amp; North West_Sheet1" xfId="2184"/>
    <cellStyle name="_Section 1 2009" xfId="2185"/>
    <cellStyle name="_Section 4 2009 Group 1" xfId="2186"/>
    <cellStyle name="_Section 5 2009 Group 1" xfId="2187"/>
    <cellStyle name="_Section 5 2009 Group 5" xfId="2188"/>
    <cellStyle name="_SECTION 7 - Summary P&amp;L with Graphs" xfId="2189"/>
    <cellStyle name="_SECTION 7 - Summary P&amp;L with Graphs_Book2" xfId="2190"/>
    <cellStyle name="_SECTION 7 - Summary P&amp;L with Graphs_Covenants_draft_260412" xfId="2191"/>
    <cellStyle name="_SECTION 7 - Summary P&amp;L with Graphs_DRAFT 11" xfId="2192"/>
    <cellStyle name="_SECTION 7 - Summary P&amp;L with Graphs_DRAFT 11_Covenants_draft_260412" xfId="2193"/>
    <cellStyle name="_SECTION 7 - Summary P&amp;L with Graphs_DRAFT 11_Marketing &amp; Product" xfId="2194"/>
    <cellStyle name="_SECTION 7 - Summary P&amp;L with Graphs_Head Office Pack - Draft 1" xfId="2195"/>
    <cellStyle name="_SECTION 7 - Summary P&amp;L with Graphs_Head Office Pack - Draft 4" xfId="2196"/>
    <cellStyle name="_SECTION 7 - Summary P&amp;L with Graphs_Internal" xfId="2197"/>
    <cellStyle name="_SECTION 7 - Summary P&amp;L with Graphs_Internal 1" xfId="2198"/>
    <cellStyle name="_SECTION 7 - Summary P&amp;L with Graphs_Internal 1_Projections Pack" xfId="2199"/>
    <cellStyle name="_SECTION 7 - Summary P&amp;L with Graphs_Internal 1_Projections Pack (TM)" xfId="2200"/>
    <cellStyle name="_SECTION 7 - Summary P&amp;L with Graphs_Internal 1_Quasi Rent Illustration" xfId="2201"/>
    <cellStyle name="_SECTION 7 - Summary P&amp;L with Graphs_Internal_Projections Pack" xfId="2202"/>
    <cellStyle name="_SECTION 7 - Summary P&amp;L with Graphs_Internal_Projections Pack (TM)" xfId="2203"/>
    <cellStyle name="_SECTION 7 - Summary P&amp;L with Graphs_Internal_Quasi Rent Illustration" xfId="2204"/>
    <cellStyle name="_SECTION 7 - Summary P&amp;L with Graphs_IT Budget 2011" xfId="2205"/>
    <cellStyle name="_SECTION 7 - Summary P&amp;L with Graphs_IT Budget Master 2011 - Draft V2 1 (2)" xfId="2206"/>
    <cellStyle name="_SECTION 7 - Summary P&amp;L with Graphs_Net Gain Review Pack - 28th Sept" xfId="2207"/>
    <cellStyle name="_SECTION 7 - Summary P&amp;L with Graphs_PAR overlay" xfId="2208"/>
    <cellStyle name="_SECTION 7 - Summary P&amp;L with Graphs_PAR overlay_Projections Pack" xfId="2209"/>
    <cellStyle name="_SECTION 7 - Summary P&amp;L with Graphs_PAR overlay_Projections Pack (TM)" xfId="2210"/>
    <cellStyle name="_SECTION 7 - Summary P&amp;L with Graphs_PAR overlay_Quasi Rent Illustration" xfId="2211"/>
    <cellStyle name="_SECTION 7 - Summary P&amp;L with Graphs_Property Budget 2011" xfId="2212"/>
    <cellStyle name="_SECTION 7 - Summary P&amp;L with Graphs_Property Budget 2011_Covenants_draft_260412" xfId="2213"/>
    <cellStyle name="_SECTION 7 - Summary P&amp;L with Graphs_Property Budget 2011_Marketing &amp; Product" xfId="2214"/>
    <cellStyle name="_SECTION 7 - Summary P&amp;L with Graphs_Sceanrio 2 Update - Dec 2nd" xfId="2215"/>
    <cellStyle name="_SECTION 7 - Summary P&amp;L with Graphs_Sceanrio 2 Update - Dec 2nd_Projections Pack" xfId="2216"/>
    <cellStyle name="_SECTION 7 - Summary P&amp;L with Graphs_Sceanrio 2 Update - Dec 2nd_Projections Pack (TM)" xfId="2217"/>
    <cellStyle name="_SECTION 7 - Summary P&amp;L with Graphs_Sceanrio 2 Update - Dec 2nd_Quasi Rent Illustration" xfId="2218"/>
    <cellStyle name="_SECTION 7 - Summary P&amp;L with Graphs_Sheet1" xfId="2219"/>
    <cellStyle name="_SECTION 7 - Summary P&amp;L with Graphs_YLC" xfId="2220"/>
    <cellStyle name="_source" xfId="2980"/>
    <cellStyle name="_source_03_ Clean LBO Model" xfId="2981"/>
    <cellStyle name="_source_05_ Clean LBO Model" xfId="2982"/>
    <cellStyle name="_source_08 Valuation Model incl. new BP" xfId="2983"/>
    <cellStyle name="_source_09 Valuation Model incl. new BP" xfId="2984"/>
    <cellStyle name="_source_13 Valuation Model incl. new BP" xfId="2985"/>
    <cellStyle name="_source_14 Valuation Model incl. new BP" xfId="2986"/>
    <cellStyle name="_source_15_ Clean LBO Model" xfId="2987"/>
    <cellStyle name="_source_20 Valuation Model incl. new BP" xfId="2988"/>
    <cellStyle name="_source_25 Valuation Model incl. new BP" xfId="2989"/>
    <cellStyle name="_source_33 Valuation Model incl. new BP" xfId="2990"/>
    <cellStyle name="_source_34 Valuation Model incl. new BP" xfId="2991"/>
    <cellStyle name="_source_37 Valuation Model incl. new BP" xfId="2992"/>
    <cellStyle name="_source_38 Valuation Model incl. new BP" xfId="2993"/>
    <cellStyle name="_source_39 Valuation Model incl. new BP" xfId="2994"/>
    <cellStyle name="_source_40 Valuation Model incl. new BP" xfId="2995"/>
    <cellStyle name="_source_44 Valuation Model incl. new BP" xfId="2996"/>
    <cellStyle name="_South East" xfId="2221"/>
    <cellStyle name="_South East_Covenants_draft_260412" xfId="2222"/>
    <cellStyle name="_South East_Head Office Pack - Draft 1" xfId="2223"/>
    <cellStyle name="_South East_Head Office Pack - Draft 4" xfId="2224"/>
    <cellStyle name="_South East_Property Budget 2011" xfId="2225"/>
    <cellStyle name="_South East_Property Budget 2011_Covenants_draft_260412" xfId="2226"/>
    <cellStyle name="_South East_Property Budget 2011_Marketing &amp; Product" xfId="2227"/>
    <cellStyle name="_South East_Sheet1" xfId="2228"/>
    <cellStyle name="_South West &amp; Surrey" xfId="2229"/>
    <cellStyle name="_South West &amp; Surrey_Covenants_draft_260412" xfId="2230"/>
    <cellStyle name="_South West &amp; Surrey_Head Office Pack - Draft 1" xfId="2231"/>
    <cellStyle name="_South West &amp; Surrey_Head Office Pack - Draft 4" xfId="2232"/>
    <cellStyle name="_South West &amp; Surrey_Property Budget 2011" xfId="2233"/>
    <cellStyle name="_South West &amp; Surrey_Property Budget 2011_Covenants_draft_260412" xfId="2234"/>
    <cellStyle name="_South West &amp; Surrey_Property Budget 2011_Marketing &amp; Product" xfId="2235"/>
    <cellStyle name="_South West &amp; Surrey_Sheet1" xfId="2236"/>
    <cellStyle name="_SubHeading" xfId="412"/>
    <cellStyle name="_SubHeading_01 Capital Structure" xfId="2997"/>
    <cellStyle name="_SubHeading_01 Capital Structure_03_ Clean LBO Model" xfId="2998"/>
    <cellStyle name="_SubHeading_01 Capital Structure_05_ Clean LBO Model" xfId="2999"/>
    <cellStyle name="_SubHeading_01 Capital Structure_08 Valuation Model incl. new BP" xfId="3000"/>
    <cellStyle name="_SubHeading_01 Capital Structure_09 Valuation Model incl. new BP" xfId="3001"/>
    <cellStyle name="_SubHeading_01 Capital Structure_13 Valuation Model incl. new BP" xfId="3002"/>
    <cellStyle name="_SubHeading_01 Capital Structure_14 Valuation Model incl. new BP" xfId="3003"/>
    <cellStyle name="_SubHeading_01 Capital Structure_15_ Clean LBO Model" xfId="3004"/>
    <cellStyle name="_SubHeading_01 Capital Structure_20 Valuation Model incl. new BP" xfId="3005"/>
    <cellStyle name="_SubHeading_01 Capital Structure_25 Valuation Model incl. new BP" xfId="3006"/>
    <cellStyle name="_SubHeading_01 Capital Structure_33 Valuation Model incl. new BP" xfId="3007"/>
    <cellStyle name="_SubHeading_01 Capital Structure_34 Valuation Model incl. new BP" xfId="3008"/>
    <cellStyle name="_SubHeading_01 Capital Structure_37 Valuation Model incl. new BP" xfId="3009"/>
    <cellStyle name="_SubHeading_01 Capital Structure_38 Valuation Model incl. new BP" xfId="3010"/>
    <cellStyle name="_SubHeading_01 Capital Structure_39 Valuation Model incl. new BP" xfId="3011"/>
    <cellStyle name="_SubHeading_01 Capital Structure_40 Valuation Model incl. new BP" xfId="3012"/>
    <cellStyle name="_SubHeading_01 Capital Structure_44 Valuation Model incl. new BP" xfId="3013"/>
    <cellStyle name="_SubHeading_01 Offering Breakdown" xfId="3014"/>
    <cellStyle name="_SubHeading_02 DCF" xfId="3015"/>
    <cellStyle name="_SubHeading_02 Enersys Merger Plan" xfId="3016"/>
    <cellStyle name="_SubHeading_02 Enersys Merger Plan_03_ Clean LBO Model" xfId="3017"/>
    <cellStyle name="_SubHeading_02 Enersys Merger Plan_05_ Clean LBO Model" xfId="3018"/>
    <cellStyle name="_SubHeading_02 Enersys Merger Plan_08 Valuation Model incl. new BP" xfId="3019"/>
    <cellStyle name="_SubHeading_02 Enersys Merger Plan_09 Valuation Model incl. new BP" xfId="3020"/>
    <cellStyle name="_SubHeading_02 Enersys Merger Plan_13 Valuation Model incl. new BP" xfId="3021"/>
    <cellStyle name="_SubHeading_02 Enersys Merger Plan_14 Valuation Model incl. new BP" xfId="3022"/>
    <cellStyle name="_SubHeading_02 Enersys Merger Plan_15_ Clean LBO Model" xfId="3023"/>
    <cellStyle name="_SubHeading_02 Enersys Merger Plan_20 Valuation Model incl. new BP" xfId="3024"/>
    <cellStyle name="_SubHeading_02 Enersys Merger Plan_25 Valuation Model incl. new BP" xfId="3025"/>
    <cellStyle name="_SubHeading_02 Enersys Merger Plan_33 Valuation Model incl. new BP" xfId="3026"/>
    <cellStyle name="_SubHeading_02 Enersys Merger Plan_34 Valuation Model incl. new BP" xfId="3027"/>
    <cellStyle name="_SubHeading_02 Enersys Merger Plan_37 Valuation Model incl. new BP" xfId="3028"/>
    <cellStyle name="_SubHeading_02 Enersys Merger Plan_38 Valuation Model incl. new BP" xfId="3029"/>
    <cellStyle name="_SubHeading_02 Enersys Merger Plan_39 Valuation Model incl. new BP" xfId="3030"/>
    <cellStyle name="_SubHeading_02 Enersys Merger Plan_40 Valuation Model incl. new BP" xfId="3031"/>
    <cellStyle name="_SubHeading_02 Enersys Merger Plan_44 Valuation Model incl. new BP" xfId="3032"/>
    <cellStyle name="_SubHeading_02 Mobile CSC" xfId="3033"/>
    <cellStyle name="_SubHeading_02 TDC Merger Plan" xfId="3034"/>
    <cellStyle name="_SubHeading_02 TDC Merger Plan_03_ Clean LBO Model" xfId="3035"/>
    <cellStyle name="_SubHeading_02 TDC Merger Plan_05_ Clean LBO Model" xfId="3036"/>
    <cellStyle name="_SubHeading_02 TDC Merger Plan_08 Valuation Model incl. new BP" xfId="3037"/>
    <cellStyle name="_SubHeading_02 TDC Merger Plan_09 Valuation Model incl. new BP" xfId="3038"/>
    <cellStyle name="_SubHeading_02 TDC Merger Plan_13 Valuation Model incl. new BP" xfId="3039"/>
    <cellStyle name="_SubHeading_02 TDC Merger Plan_14 Valuation Model incl. new BP" xfId="3040"/>
    <cellStyle name="_SubHeading_02 TDC Merger Plan_15_ Clean LBO Model" xfId="3041"/>
    <cellStyle name="_SubHeading_02 TDC Merger Plan_20 Valuation Model incl. new BP" xfId="3042"/>
    <cellStyle name="_SubHeading_02 TDC Merger Plan_25 Valuation Model incl. new BP" xfId="3043"/>
    <cellStyle name="_SubHeading_02 TDC Merger Plan_33 Valuation Model incl. new BP" xfId="3044"/>
    <cellStyle name="_SubHeading_02 TDC Merger Plan_34 Valuation Model incl. new BP" xfId="3045"/>
    <cellStyle name="_SubHeading_02 TDC Merger Plan_37 Valuation Model incl. new BP" xfId="3046"/>
    <cellStyle name="_SubHeading_02 TDC Merger Plan_38 Valuation Model incl. new BP" xfId="3047"/>
    <cellStyle name="_SubHeading_02 TDC Merger Plan_39 Valuation Model incl. new BP" xfId="3048"/>
    <cellStyle name="_SubHeading_02 TDC Merger Plan_40 Valuation Model incl. new BP" xfId="3049"/>
    <cellStyle name="_SubHeading_02 TDC Merger Plan_44 Valuation Model incl. new BP" xfId="3050"/>
    <cellStyle name="_SubHeading_02 WACC Analysis" xfId="413"/>
    <cellStyle name="_SubHeading_03 Total Expenses" xfId="3051"/>
    <cellStyle name="_SubHeading_04 Volatility" xfId="3052"/>
    <cellStyle name="_SubHeading_07 Model Alcatel OFD Sept-03" xfId="3053"/>
    <cellStyle name="_SubHeading_10 LBO Model Packoma oct 2003" xfId="3054"/>
    <cellStyle name="_SubHeading_16 Detail of Key Metrics_mario marco" xfId="2237"/>
    <cellStyle name="_SubHeading_19 Valuation of Cegetel" xfId="3055"/>
    <cellStyle name="_SubHeading_19 Valuation of Cegetel_03_ Clean LBO Model" xfId="3056"/>
    <cellStyle name="_SubHeading_19 Valuation of Cegetel_05_ Clean LBO Model" xfId="3057"/>
    <cellStyle name="_SubHeading_19 Valuation of Cegetel_08 Valuation Model incl. new BP" xfId="3058"/>
    <cellStyle name="_SubHeading_19 Valuation of Cegetel_09 Valuation Model incl. new BP" xfId="3059"/>
    <cellStyle name="_SubHeading_19 Valuation of Cegetel_13 Valuation Model incl. new BP" xfId="3060"/>
    <cellStyle name="_SubHeading_19 Valuation of Cegetel_14 Valuation Model incl. new BP" xfId="3061"/>
    <cellStyle name="_SubHeading_19 Valuation of Cegetel_15_ Clean LBO Model" xfId="3062"/>
    <cellStyle name="_SubHeading_19 Valuation of Cegetel_20 Valuation Model incl. new BP" xfId="3063"/>
    <cellStyle name="_SubHeading_19 Valuation of Cegetel_25 Valuation Model incl. new BP" xfId="3064"/>
    <cellStyle name="_SubHeading_19 Valuation of Cegetel_33 Valuation Model incl. new BP" xfId="3065"/>
    <cellStyle name="_SubHeading_19 Valuation of Cegetel_34 Valuation Model incl. new BP" xfId="3066"/>
    <cellStyle name="_SubHeading_19 Valuation of Cegetel_37 Valuation Model incl. new BP" xfId="3067"/>
    <cellStyle name="_SubHeading_19 Valuation of Cegetel_38 Valuation Model incl. new BP" xfId="3068"/>
    <cellStyle name="_SubHeading_19 Valuation of Cegetel_39 Valuation Model incl. new BP" xfId="3069"/>
    <cellStyle name="_SubHeading_19 Valuation of Cegetel_40 Valuation Model incl. new BP" xfId="3070"/>
    <cellStyle name="_SubHeading_19 Valuation of Cegetel_44 Valuation Model incl. new BP" xfId="3071"/>
    <cellStyle name="_SubHeading_190503 Model2" xfId="3072"/>
    <cellStyle name="_SubHeading_20 Operational Model" xfId="3073"/>
    <cellStyle name="_SubHeading_44 Valuation Model incl. new BP" xfId="3074"/>
    <cellStyle name="_SubHeading_58_Model Rexel_Scenarios" xfId="3075"/>
    <cellStyle name="_SubHeading_beta rider" xfId="3076"/>
    <cellStyle name="_SubHeading_Betas" xfId="414"/>
    <cellStyle name="_SubHeading_Cairo LBO model - Sept 06" xfId="415"/>
    <cellStyle name="_SubHeading_carrefour sa carsons ownership" xfId="3077"/>
    <cellStyle name="_SubHeading_CSC 10_03_01 (David Brown_85B)" xfId="416"/>
    <cellStyle name="_SubHeading_EBITDA to Growth" xfId="3078"/>
    <cellStyle name="_SubHeading_Financials &amp; Valuation v16 Indigo" xfId="3079"/>
    <cellStyle name="_SubHeading_Marionnaud DCF S))_x0008__x0008_03" xfId="3080"/>
    <cellStyle name="_SubHeading_Marionnaud Model_15April" xfId="3081"/>
    <cellStyle name="_SubHeading_Numico GS Research Model 23-Aug-2002" xfId="3082"/>
    <cellStyle name="_SubHeading_Numico GS Research Model 23-Aug-2002_03_ Clean LBO Model" xfId="3083"/>
    <cellStyle name="_SubHeading_Numico GS Research Model 23-Aug-2002_05_ Clean LBO Model" xfId="3084"/>
    <cellStyle name="_SubHeading_Numico GS Research Model 23-Aug-2002_08 Valuation Model incl. new BP" xfId="3085"/>
    <cellStyle name="_SubHeading_Numico GS Research Model 23-Aug-2002_09 Valuation Model incl. new BP" xfId="3086"/>
    <cellStyle name="_SubHeading_Numico GS Research Model 23-Aug-2002_13 Valuation Model incl. new BP" xfId="3087"/>
    <cellStyle name="_SubHeading_Numico GS Research Model 23-Aug-2002_14 Valuation Model incl. new BP" xfId="3088"/>
    <cellStyle name="_SubHeading_Numico GS Research Model 23-Aug-2002_15_ Clean LBO Model" xfId="3089"/>
    <cellStyle name="_SubHeading_Numico GS Research Model 23-Aug-2002_20 Valuation Model incl. new BP" xfId="3090"/>
    <cellStyle name="_SubHeading_Numico GS Research Model 23-Aug-2002_25 Valuation Model incl. new BP" xfId="3091"/>
    <cellStyle name="_SubHeading_Numico GS Research Model 23-Aug-2002_33 Valuation Model incl. new BP" xfId="3092"/>
    <cellStyle name="_SubHeading_Numico GS Research Model 23-Aug-2002_34 Valuation Model incl. new BP" xfId="3093"/>
    <cellStyle name="_SubHeading_Numico GS Research Model 23-Aug-2002_37 Valuation Model incl. new BP" xfId="3094"/>
    <cellStyle name="_SubHeading_Numico GS Research Model 23-Aug-2002_38 Valuation Model incl. new BP" xfId="3095"/>
    <cellStyle name="_SubHeading_Numico GS Research Model 23-Aug-2002_39 Valuation Model incl. new BP" xfId="3096"/>
    <cellStyle name="_SubHeading_Numico GS Research Model 23-Aug-2002_40 Valuation Model incl. new BP" xfId="3097"/>
    <cellStyle name="_SubHeading_Numico GS Research Model 23-Aug-2002_44 Valuation Model incl. new BP" xfId="3098"/>
    <cellStyle name="_SubHeading_Numico GS Research Model 23-Aug-2002_CSC July 24" xfId="3099"/>
    <cellStyle name="_SubHeading_Offering Breakdown - 09-Jun -2005" xfId="3100"/>
    <cellStyle name="_SubHeading_prestemp" xfId="417"/>
    <cellStyle name="_SubHeading_SantaLucia Debt Coverage analysis - 12 June 2001" xfId="3101"/>
    <cellStyle name="_SubHeading_Sensitivity analysis on synergies (amended)" xfId="3102"/>
    <cellStyle name="_SubHeading_StockGroupKeyFinancials" xfId="418"/>
    <cellStyle name="_SubHeading_Volatility" xfId="3103"/>
    <cellStyle name="_Table" xfId="419"/>
    <cellStyle name="_Table 2" xfId="3645"/>
    <cellStyle name="_Table_01 Capital Structure" xfId="3104"/>
    <cellStyle name="_Table_01 Capital Structure 2" xfId="3716"/>
    <cellStyle name="_Table_01 Capital Structure_03_ Clean LBO Model" xfId="3105"/>
    <cellStyle name="_Table_01 Capital Structure_03_ Clean LBO Model 2" xfId="3717"/>
    <cellStyle name="_Table_01 Capital Structure_05_ Clean LBO Model" xfId="3106"/>
    <cellStyle name="_Table_01 Capital Structure_05_ Clean LBO Model 2" xfId="3718"/>
    <cellStyle name="_Table_01 Capital Structure_08 Valuation Model incl. new BP" xfId="3107"/>
    <cellStyle name="_Table_01 Capital Structure_08 Valuation Model incl. new BP 2" xfId="3719"/>
    <cellStyle name="_Table_01 Capital Structure_09 Valuation Model incl. new BP" xfId="3108"/>
    <cellStyle name="_Table_01 Capital Structure_09 Valuation Model incl. new BP 2" xfId="3720"/>
    <cellStyle name="_Table_01 Capital Structure_13 Valuation Model incl. new BP" xfId="3109"/>
    <cellStyle name="_Table_01 Capital Structure_13 Valuation Model incl. new BP 2" xfId="3721"/>
    <cellStyle name="_Table_01 Capital Structure_14 Valuation Model incl. new BP" xfId="3110"/>
    <cellStyle name="_Table_01 Capital Structure_14 Valuation Model incl. new BP 2" xfId="3722"/>
    <cellStyle name="_Table_01 Capital Structure_15_ Clean LBO Model" xfId="3111"/>
    <cellStyle name="_Table_01 Capital Structure_15_ Clean LBO Model 2" xfId="3723"/>
    <cellStyle name="_Table_01 Capital Structure_20 Valuation Model incl. new BP" xfId="3112"/>
    <cellStyle name="_Table_01 Capital Structure_20 Valuation Model incl. new BP 2" xfId="3724"/>
    <cellStyle name="_Table_01 Capital Structure_25 Valuation Model incl. new BP" xfId="3113"/>
    <cellStyle name="_Table_01 Capital Structure_25 Valuation Model incl. new BP 2" xfId="3725"/>
    <cellStyle name="_Table_01 Capital Structure_33 Valuation Model incl. new BP" xfId="3114"/>
    <cellStyle name="_Table_01 Capital Structure_33 Valuation Model incl. new BP 2" xfId="3726"/>
    <cellStyle name="_Table_01 Capital Structure_34 Valuation Model incl. new BP" xfId="3115"/>
    <cellStyle name="_Table_01 Capital Structure_34 Valuation Model incl. new BP 2" xfId="3727"/>
    <cellStyle name="_Table_01 Capital Structure_37 Valuation Model incl. new BP" xfId="3116"/>
    <cellStyle name="_Table_01 Capital Structure_37 Valuation Model incl. new BP 2" xfId="3728"/>
    <cellStyle name="_Table_01 Capital Structure_38 Valuation Model incl. new BP" xfId="3117"/>
    <cellStyle name="_Table_01 Capital Structure_38 Valuation Model incl. new BP 2" xfId="3729"/>
    <cellStyle name="_Table_01 Capital Structure_39 Valuation Model incl. new BP" xfId="3118"/>
    <cellStyle name="_Table_01 Capital Structure_39 Valuation Model incl. new BP 2" xfId="3730"/>
    <cellStyle name="_Table_01 Capital Structure_40 Valuation Model incl. new BP" xfId="3119"/>
    <cellStyle name="_Table_01 Capital Structure_40 Valuation Model incl. new BP 2" xfId="3731"/>
    <cellStyle name="_Table_01 Capital Structure_44 Valuation Model incl. new BP" xfId="3120"/>
    <cellStyle name="_Table_01 Capital Structure_44 Valuation Model incl. new BP 2" xfId="3732"/>
    <cellStyle name="_Table_01 Offering Breakdown" xfId="3121"/>
    <cellStyle name="_Table_01 Offering Breakdown 2" xfId="3733"/>
    <cellStyle name="_Table_02 DCF" xfId="3122"/>
    <cellStyle name="_Table_02 DCF 2" xfId="3734"/>
    <cellStyle name="_Table_02 Enersys Merger Plan" xfId="3123"/>
    <cellStyle name="_Table_02 Enersys Merger Plan 2" xfId="3735"/>
    <cellStyle name="_Table_02 Enersys Merger Plan_03_ Clean LBO Model" xfId="3124"/>
    <cellStyle name="_Table_02 Enersys Merger Plan_03_ Clean LBO Model 2" xfId="3736"/>
    <cellStyle name="_Table_02 Enersys Merger Plan_05_ Clean LBO Model" xfId="3125"/>
    <cellStyle name="_Table_02 Enersys Merger Plan_05_ Clean LBO Model 2" xfId="3737"/>
    <cellStyle name="_Table_02 Enersys Merger Plan_08 Valuation Model incl. new BP" xfId="3126"/>
    <cellStyle name="_Table_02 Enersys Merger Plan_08 Valuation Model incl. new BP 2" xfId="3738"/>
    <cellStyle name="_Table_02 Enersys Merger Plan_09 Valuation Model incl. new BP" xfId="3127"/>
    <cellStyle name="_Table_02 Enersys Merger Plan_09 Valuation Model incl. new BP 2" xfId="3739"/>
    <cellStyle name="_Table_02 Enersys Merger Plan_13 Valuation Model incl. new BP" xfId="3128"/>
    <cellStyle name="_Table_02 Enersys Merger Plan_13 Valuation Model incl. new BP 2" xfId="3740"/>
    <cellStyle name="_Table_02 Enersys Merger Plan_14 Valuation Model incl. new BP" xfId="3129"/>
    <cellStyle name="_Table_02 Enersys Merger Plan_14 Valuation Model incl. new BP 2" xfId="3741"/>
    <cellStyle name="_Table_02 Enersys Merger Plan_15_ Clean LBO Model" xfId="3130"/>
    <cellStyle name="_Table_02 Enersys Merger Plan_15_ Clean LBO Model 2" xfId="3742"/>
    <cellStyle name="_Table_02 Enersys Merger Plan_20 Valuation Model incl. new BP" xfId="3131"/>
    <cellStyle name="_Table_02 Enersys Merger Plan_20 Valuation Model incl. new BP 2" xfId="3743"/>
    <cellStyle name="_Table_02 Enersys Merger Plan_25 Valuation Model incl. new BP" xfId="3132"/>
    <cellStyle name="_Table_02 Enersys Merger Plan_25 Valuation Model incl. new BP 2" xfId="3744"/>
    <cellStyle name="_Table_02 Enersys Merger Plan_33 Valuation Model incl. new BP" xfId="3133"/>
    <cellStyle name="_Table_02 Enersys Merger Plan_33 Valuation Model incl. new BP 2" xfId="3745"/>
    <cellStyle name="_Table_02 Enersys Merger Plan_34 Valuation Model incl. new BP" xfId="3134"/>
    <cellStyle name="_Table_02 Enersys Merger Plan_34 Valuation Model incl. new BP 2" xfId="3746"/>
    <cellStyle name="_Table_02 Enersys Merger Plan_37 Valuation Model incl. new BP" xfId="3135"/>
    <cellStyle name="_Table_02 Enersys Merger Plan_37 Valuation Model incl. new BP 2" xfId="3747"/>
    <cellStyle name="_Table_02 Enersys Merger Plan_38 Valuation Model incl. new BP" xfId="3136"/>
    <cellStyle name="_Table_02 Enersys Merger Plan_38 Valuation Model incl. new BP 2" xfId="3748"/>
    <cellStyle name="_Table_02 Enersys Merger Plan_39 Valuation Model incl. new BP" xfId="3137"/>
    <cellStyle name="_Table_02 Enersys Merger Plan_39 Valuation Model incl. new BP 2" xfId="3749"/>
    <cellStyle name="_Table_02 Enersys Merger Plan_40 Valuation Model incl. new BP" xfId="3138"/>
    <cellStyle name="_Table_02 Enersys Merger Plan_40 Valuation Model incl. new BP 2" xfId="3750"/>
    <cellStyle name="_Table_02 Enersys Merger Plan_44 Valuation Model incl. new BP" xfId="3139"/>
    <cellStyle name="_Table_02 Enersys Merger Plan_44 Valuation Model incl. new BP 2" xfId="3751"/>
    <cellStyle name="_Table_02 Mobile CSC" xfId="3140"/>
    <cellStyle name="_Table_02 Mobile CSC 2" xfId="3752"/>
    <cellStyle name="_Table_02 TDC Merger Plan" xfId="3141"/>
    <cellStyle name="_Table_02 TDC Merger Plan 2" xfId="3753"/>
    <cellStyle name="_Table_02 TDC Merger Plan_03_ Clean LBO Model" xfId="3142"/>
    <cellStyle name="_Table_02 TDC Merger Plan_03_ Clean LBO Model 2" xfId="3754"/>
    <cellStyle name="_Table_02 TDC Merger Plan_05_ Clean LBO Model" xfId="3143"/>
    <cellStyle name="_Table_02 TDC Merger Plan_05_ Clean LBO Model 2" xfId="3755"/>
    <cellStyle name="_Table_02 TDC Merger Plan_08 Valuation Model incl. new BP" xfId="3144"/>
    <cellStyle name="_Table_02 TDC Merger Plan_08 Valuation Model incl. new BP 2" xfId="3756"/>
    <cellStyle name="_Table_02 TDC Merger Plan_09 Valuation Model incl. new BP" xfId="3145"/>
    <cellStyle name="_Table_02 TDC Merger Plan_09 Valuation Model incl. new BP 2" xfId="3757"/>
    <cellStyle name="_Table_02 TDC Merger Plan_13 Valuation Model incl. new BP" xfId="3146"/>
    <cellStyle name="_Table_02 TDC Merger Plan_13 Valuation Model incl. new BP 2" xfId="3758"/>
    <cellStyle name="_Table_02 TDC Merger Plan_14 Valuation Model incl. new BP" xfId="3147"/>
    <cellStyle name="_Table_02 TDC Merger Plan_14 Valuation Model incl. new BP 2" xfId="3759"/>
    <cellStyle name="_Table_02 TDC Merger Plan_15_ Clean LBO Model" xfId="3148"/>
    <cellStyle name="_Table_02 TDC Merger Plan_15_ Clean LBO Model 2" xfId="3760"/>
    <cellStyle name="_Table_02 TDC Merger Plan_20 Valuation Model incl. new BP" xfId="3149"/>
    <cellStyle name="_Table_02 TDC Merger Plan_20 Valuation Model incl. new BP 2" xfId="3761"/>
    <cellStyle name="_Table_02 TDC Merger Plan_25 Valuation Model incl. new BP" xfId="3150"/>
    <cellStyle name="_Table_02 TDC Merger Plan_25 Valuation Model incl. new BP 2" xfId="3762"/>
    <cellStyle name="_Table_02 TDC Merger Plan_33 Valuation Model incl. new BP" xfId="3151"/>
    <cellStyle name="_Table_02 TDC Merger Plan_33 Valuation Model incl. new BP 2" xfId="3763"/>
    <cellStyle name="_Table_02 TDC Merger Plan_34 Valuation Model incl. new BP" xfId="3152"/>
    <cellStyle name="_Table_02 TDC Merger Plan_34 Valuation Model incl. new BP 2" xfId="3764"/>
    <cellStyle name="_Table_02 TDC Merger Plan_37 Valuation Model incl. new BP" xfId="3153"/>
    <cellStyle name="_Table_02 TDC Merger Plan_37 Valuation Model incl. new BP 2" xfId="3765"/>
    <cellStyle name="_Table_02 TDC Merger Plan_38 Valuation Model incl. new BP" xfId="3154"/>
    <cellStyle name="_Table_02 TDC Merger Plan_38 Valuation Model incl. new BP 2" xfId="3766"/>
    <cellStyle name="_Table_02 TDC Merger Plan_39 Valuation Model incl. new BP" xfId="3155"/>
    <cellStyle name="_Table_02 TDC Merger Plan_39 Valuation Model incl. new BP 2" xfId="3767"/>
    <cellStyle name="_Table_02 TDC Merger Plan_40 Valuation Model incl. new BP" xfId="3156"/>
    <cellStyle name="_Table_02 TDC Merger Plan_40 Valuation Model incl. new BP 2" xfId="3768"/>
    <cellStyle name="_Table_02 TDC Merger Plan_44 Valuation Model incl. new BP" xfId="3157"/>
    <cellStyle name="_Table_02 TDC Merger Plan_44 Valuation Model incl. new BP 2" xfId="3769"/>
    <cellStyle name="_Table_02 WACC Analysis" xfId="420"/>
    <cellStyle name="_Table_02 WACC Analysis 2" xfId="3646"/>
    <cellStyle name="_Table_03 Total Expenses" xfId="3158"/>
    <cellStyle name="_Table_03 Total Expenses 2" xfId="3770"/>
    <cellStyle name="_Table_04 Volatility" xfId="3159"/>
    <cellStyle name="_Table_04 Volatility 2" xfId="3771"/>
    <cellStyle name="_Table_07 Model Alcatel OFD Sept-03" xfId="3160"/>
    <cellStyle name="_Table_07 Model Alcatel OFD Sept-03 2" xfId="3772"/>
    <cellStyle name="_Table_10- C-lion Merger and Valuation Analysis" xfId="3161"/>
    <cellStyle name="_Table_10 LBO Model Packoma oct 2003" xfId="3162"/>
    <cellStyle name="_Table_19 Valuation of Cegetel" xfId="3163"/>
    <cellStyle name="_Table_19 Valuation of Cegetel 2" xfId="3773"/>
    <cellStyle name="_Table_19 Valuation of Cegetel_03_ Clean LBO Model" xfId="3164"/>
    <cellStyle name="_Table_19 Valuation of Cegetel_03_ Clean LBO Model 2" xfId="3774"/>
    <cellStyle name="_Table_19 Valuation of Cegetel_05_ Clean LBO Model" xfId="3165"/>
    <cellStyle name="_Table_19 Valuation of Cegetel_05_ Clean LBO Model 2" xfId="3775"/>
    <cellStyle name="_Table_19 Valuation of Cegetel_08 Valuation Model incl. new BP" xfId="3166"/>
    <cellStyle name="_Table_19 Valuation of Cegetel_08 Valuation Model incl. new BP 2" xfId="3776"/>
    <cellStyle name="_Table_19 Valuation of Cegetel_09 Valuation Model incl. new BP" xfId="3167"/>
    <cellStyle name="_Table_19 Valuation of Cegetel_09 Valuation Model incl. new BP 2" xfId="3777"/>
    <cellStyle name="_Table_19 Valuation of Cegetel_13 Valuation Model incl. new BP" xfId="3168"/>
    <cellStyle name="_Table_19 Valuation of Cegetel_13 Valuation Model incl. new BP 2" xfId="3778"/>
    <cellStyle name="_Table_19 Valuation of Cegetel_14 Valuation Model incl. new BP" xfId="3169"/>
    <cellStyle name="_Table_19 Valuation of Cegetel_14 Valuation Model incl. new BP 2" xfId="3779"/>
    <cellStyle name="_Table_19 Valuation of Cegetel_15_ Clean LBO Model" xfId="3170"/>
    <cellStyle name="_Table_19 Valuation of Cegetel_15_ Clean LBO Model 2" xfId="3780"/>
    <cellStyle name="_Table_19 Valuation of Cegetel_20 Valuation Model incl. new BP" xfId="3171"/>
    <cellStyle name="_Table_19 Valuation of Cegetel_20 Valuation Model incl. new BP 2" xfId="3781"/>
    <cellStyle name="_Table_19 Valuation of Cegetel_25 Valuation Model incl. new BP" xfId="3172"/>
    <cellStyle name="_Table_19 Valuation of Cegetel_25 Valuation Model incl. new BP 2" xfId="3782"/>
    <cellStyle name="_Table_19 Valuation of Cegetel_33 Valuation Model incl. new BP" xfId="3173"/>
    <cellStyle name="_Table_19 Valuation of Cegetel_33 Valuation Model incl. new BP 2" xfId="3783"/>
    <cellStyle name="_Table_19 Valuation of Cegetel_34 Valuation Model incl. new BP" xfId="3174"/>
    <cellStyle name="_Table_19 Valuation of Cegetel_34 Valuation Model incl. new BP 2" xfId="3784"/>
    <cellStyle name="_Table_19 Valuation of Cegetel_37 Valuation Model incl. new BP" xfId="3175"/>
    <cellStyle name="_Table_19 Valuation of Cegetel_37 Valuation Model incl. new BP 2" xfId="3785"/>
    <cellStyle name="_Table_19 Valuation of Cegetel_38 Valuation Model incl. new BP" xfId="3176"/>
    <cellStyle name="_Table_19 Valuation of Cegetel_38 Valuation Model incl. new BP 2" xfId="3786"/>
    <cellStyle name="_Table_19 Valuation of Cegetel_39 Valuation Model incl. new BP" xfId="3177"/>
    <cellStyle name="_Table_19 Valuation of Cegetel_39 Valuation Model incl. new BP 2" xfId="3787"/>
    <cellStyle name="_Table_19 Valuation of Cegetel_40 Valuation Model incl. new BP" xfId="3178"/>
    <cellStyle name="_Table_19 Valuation of Cegetel_40 Valuation Model incl. new BP 2" xfId="3788"/>
    <cellStyle name="_Table_19 Valuation of Cegetel_44 Valuation Model incl. new BP" xfId="3179"/>
    <cellStyle name="_Table_19 Valuation of Cegetel_44 Valuation Model incl. new BP 2" xfId="3789"/>
    <cellStyle name="_Table_190503 Model2" xfId="3180"/>
    <cellStyle name="_Table_190503 Model2 2" xfId="3790"/>
    <cellStyle name="_Table_20 Operational Model" xfId="3181"/>
    <cellStyle name="_Table_20 Operational Model 2" xfId="3791"/>
    <cellStyle name="_Table_2001 09 20" xfId="3182"/>
    <cellStyle name="_Table_44 Valuation Model incl. new BP" xfId="3183"/>
    <cellStyle name="_Table_44 Valuation Model incl. new BP 2" xfId="3792"/>
    <cellStyle name="_Table_58_Model Rexel_Scenarios" xfId="3184"/>
    <cellStyle name="_Table_Accretion_Management_19Sep" xfId="3185"/>
    <cellStyle name="_Table_Accretion_Management_21Aug.2" xfId="3186"/>
    <cellStyle name="_Table_Accretion_Management_Sep1" xfId="3187"/>
    <cellStyle name="_Table_Barra Betas1" xfId="3188"/>
    <cellStyle name="_Table_Barra Betas1 2" xfId="3793"/>
    <cellStyle name="_Table_Betas" xfId="421"/>
    <cellStyle name="_Table_Betas 2" xfId="3647"/>
    <cellStyle name="_Table_Bottom-Up Site Analysis (220801)" xfId="3189"/>
    <cellStyle name="_Table_Bottom-Up Site Analysis (220801) 2" xfId="3794"/>
    <cellStyle name="_Table_Bottom-Up Site Analysis v2" xfId="3190"/>
    <cellStyle name="_Table_Bottom-Up Site Analysis v2 2" xfId="3795"/>
    <cellStyle name="_Table_Cairo LBO model - Sept 06" xfId="422"/>
    <cellStyle name="_Table_Cairo LBO model - Sept 06 2" xfId="3648"/>
    <cellStyle name="_Table_Casto DCF_June22" xfId="3191"/>
    <cellStyle name="_Table_Contribution analysis" xfId="3192"/>
    <cellStyle name="_Table_Contribution Analysis_Brokers_Sep2" xfId="3193"/>
    <cellStyle name="_Table_Contribution Analysis_Brokers_Sep6" xfId="3194"/>
    <cellStyle name="_Table_CSC - revised version 27 october" xfId="3195"/>
    <cellStyle name="_Table_CSC - revised version 27 october 2" xfId="3796"/>
    <cellStyle name="_Table_DCF - July 2, 2001" xfId="3196"/>
    <cellStyle name="_Table_deal comp data 99 reduced" xfId="3197"/>
    <cellStyle name="_Table_deal comp data 99 reduced 2" xfId="3797"/>
    <cellStyle name="_Table_Feeder" xfId="423"/>
    <cellStyle name="_Table_Feeder 2" xfId="3649"/>
    <cellStyle name="_Table_Financial and Credit Impact" xfId="3198"/>
    <cellStyle name="_Table_Financial and Credit Impact 2" xfId="3798"/>
    <cellStyle name="_Table_Financial Model v75.0" xfId="3199"/>
    <cellStyle name="_Table_Financials &amp; Valuation v16 Indigo" xfId="3200"/>
    <cellStyle name="_Table_Financing alternatives key credit" xfId="3201"/>
    <cellStyle name="_Table_Financing alternatives key credit 2" xfId="3799"/>
    <cellStyle name="_Table_liberate fact sheet" xfId="3202"/>
    <cellStyle name="_Table_M&amp;A Model" xfId="424"/>
    <cellStyle name="_Table_M&amp;A Model 2" xfId="3650"/>
    <cellStyle name="_Table_M&amp;A projections" xfId="425"/>
    <cellStyle name="_Table_M&amp;A projections 2" xfId="3651"/>
    <cellStyle name="_Table_Marionnaud DCF Sept-03" xfId="3203"/>
    <cellStyle name="_Table_Marionnaud DCF Sept-03 2" xfId="3800"/>
    <cellStyle name="_Table_Marionnaud Model_15April" xfId="3204"/>
    <cellStyle name="_Table_Marionnaud Model_15April 2" xfId="3801"/>
    <cellStyle name="_Table_Modele Sigma-Kalon - 7 dec 01" xfId="3205"/>
    <cellStyle name="_Table_MTU Diesel LBO Model" xfId="426"/>
    <cellStyle name="_Table_MTU Diesel LBO Model 2" xfId="3652"/>
    <cellStyle name="_Table_NKF_HomeDepot_2Aug" xfId="3206"/>
    <cellStyle name="_Table_Offering Breakdown - 09-Jun -2005" xfId="3207"/>
    <cellStyle name="_Table_Offering Breakdown - 09-Jun -2005 2" xfId="3802"/>
    <cellStyle name="_Table_Options_Converts" xfId="3208"/>
    <cellStyle name="_Table_Options_Converts 2" xfId="3803"/>
    <cellStyle name="_Table_Project Wincor LBO Model 2a" xfId="3209"/>
    <cellStyle name="_Table_Project Wincor LBO Model 2b" xfId="3210"/>
    <cellStyle name="_Table_Rollout of 26 - 36 Networks in Finland" xfId="3211"/>
    <cellStyle name="_Table_Rollout of 26 - 36 Networks in Finland 2" xfId="3804"/>
    <cellStyle name="_Table_SantaLucia Debt Coverage analysis - 12 June 2001" xfId="3212"/>
    <cellStyle name="_Table_StockGroupKeyFinancials" xfId="427"/>
    <cellStyle name="_Table_StockGroupKeyFinancials 2" xfId="3653"/>
    <cellStyle name="_Table_underwrite table" xfId="428"/>
    <cellStyle name="_Table_underwrite table 2" xfId="3654"/>
    <cellStyle name="_Table_Unibase Preliminary Valuations" xfId="3213"/>
    <cellStyle name="_Table_Unibase Preliminary Valuations 2" xfId="3805"/>
    <cellStyle name="_Table_Volatility" xfId="3214"/>
    <cellStyle name="_Table_Volatility 2" xfId="3806"/>
    <cellStyle name="_Table_Working Capital Swings" xfId="3215"/>
    <cellStyle name="_Table_Working Capital Swings 2" xfId="3807"/>
    <cellStyle name="_TableHead" xfId="429"/>
    <cellStyle name="_TableHead_01 Capital Structure" xfId="3216"/>
    <cellStyle name="_TableHead_01 Capital Structure_03_ Clean LBO Model" xfId="3217"/>
    <cellStyle name="_TableHead_01 Capital Structure_05_ Clean LBO Model" xfId="3218"/>
    <cellStyle name="_TableHead_01 Capital Structure_08 Valuation Model incl. new BP" xfId="3219"/>
    <cellStyle name="_TableHead_01 Capital Structure_09 Valuation Model incl. new BP" xfId="3220"/>
    <cellStyle name="_TableHead_01 Capital Structure_13 Valuation Model incl. new BP" xfId="3221"/>
    <cellStyle name="_TableHead_01 Capital Structure_14 Valuation Model incl. new BP" xfId="3222"/>
    <cellStyle name="_TableHead_01 Capital Structure_15_ Clean LBO Model" xfId="3223"/>
    <cellStyle name="_TableHead_01 Capital Structure_20 Valuation Model incl. new BP" xfId="3224"/>
    <cellStyle name="_TableHead_01 Capital Structure_25 Valuation Model incl. new BP" xfId="3225"/>
    <cellStyle name="_TableHead_01 Capital Structure_33 Valuation Model incl. new BP" xfId="3226"/>
    <cellStyle name="_TableHead_01 Capital Structure_34 Valuation Model incl. new BP" xfId="3227"/>
    <cellStyle name="_TableHead_01 Capital Structure_37 Valuation Model incl. new BP" xfId="3228"/>
    <cellStyle name="_TableHead_01 Capital Structure_38 Valuation Model incl. new BP" xfId="3229"/>
    <cellStyle name="_TableHead_01 Capital Structure_39 Valuation Model incl. new BP" xfId="3230"/>
    <cellStyle name="_TableHead_01 Capital Structure_40 Valuation Model incl. new BP" xfId="3231"/>
    <cellStyle name="_TableHead_01 Capital Structure_44 Valuation Model incl. new BP" xfId="3232"/>
    <cellStyle name="_TableHead_01 Offering Breakdown" xfId="3233"/>
    <cellStyle name="_TableHead_02 Enersys Merger Plan" xfId="3234"/>
    <cellStyle name="_TableHead_02 Enersys Merger Plan_03_ Clean LBO Model" xfId="3235"/>
    <cellStyle name="_TableHead_02 Enersys Merger Plan_05_ Clean LBO Model" xfId="3236"/>
    <cellStyle name="_TableHead_02 Enersys Merger Plan_08 Valuation Model incl. new BP" xfId="3237"/>
    <cellStyle name="_TableHead_02 Enersys Merger Plan_09 Valuation Model incl. new BP" xfId="3238"/>
    <cellStyle name="_TableHead_02 Enersys Merger Plan_13 Valuation Model incl. new BP" xfId="3239"/>
    <cellStyle name="_TableHead_02 Enersys Merger Plan_14 Valuation Model incl. new BP" xfId="3240"/>
    <cellStyle name="_TableHead_02 Enersys Merger Plan_15_ Clean LBO Model" xfId="3241"/>
    <cellStyle name="_TableHead_02 Enersys Merger Plan_20 Valuation Model incl. new BP" xfId="3242"/>
    <cellStyle name="_TableHead_02 Enersys Merger Plan_25 Valuation Model incl. new BP" xfId="3243"/>
    <cellStyle name="_TableHead_02 Enersys Merger Plan_33 Valuation Model incl. new BP" xfId="3244"/>
    <cellStyle name="_TableHead_02 Enersys Merger Plan_34 Valuation Model incl. new BP" xfId="3245"/>
    <cellStyle name="_TableHead_02 Enersys Merger Plan_37 Valuation Model incl. new BP" xfId="3246"/>
    <cellStyle name="_TableHead_02 Enersys Merger Plan_38 Valuation Model incl. new BP" xfId="3247"/>
    <cellStyle name="_TableHead_02 Enersys Merger Plan_39 Valuation Model incl. new BP" xfId="3248"/>
    <cellStyle name="_TableHead_02 Enersys Merger Plan_40 Valuation Model incl. new BP" xfId="3249"/>
    <cellStyle name="_TableHead_02 Enersys Merger Plan_44 Valuation Model incl. new BP" xfId="3250"/>
    <cellStyle name="_TableHead_02 TDC Merger Plan" xfId="3251"/>
    <cellStyle name="_TableHead_02 TDC Merger Plan_03_ Clean LBO Model" xfId="3252"/>
    <cellStyle name="_TableHead_02 TDC Merger Plan_05_ Clean LBO Model" xfId="3253"/>
    <cellStyle name="_TableHead_02 TDC Merger Plan_08 Valuation Model incl. new BP" xfId="3254"/>
    <cellStyle name="_TableHead_02 TDC Merger Plan_09 Valuation Model incl. new BP" xfId="3255"/>
    <cellStyle name="_TableHead_02 TDC Merger Plan_13 Valuation Model incl. new BP" xfId="3256"/>
    <cellStyle name="_TableHead_02 TDC Merger Plan_14 Valuation Model incl. new BP" xfId="3257"/>
    <cellStyle name="_TableHead_02 TDC Merger Plan_15_ Clean LBO Model" xfId="3258"/>
    <cellStyle name="_TableHead_02 TDC Merger Plan_20 Valuation Model incl. new BP" xfId="3259"/>
    <cellStyle name="_TableHead_02 TDC Merger Plan_25 Valuation Model incl. new BP" xfId="3260"/>
    <cellStyle name="_TableHead_02 TDC Merger Plan_33 Valuation Model incl. new BP" xfId="3261"/>
    <cellStyle name="_TableHead_02 TDC Merger Plan_34 Valuation Model incl. new BP" xfId="3262"/>
    <cellStyle name="_TableHead_02 TDC Merger Plan_37 Valuation Model incl. new BP" xfId="3263"/>
    <cellStyle name="_TableHead_02 TDC Merger Plan_38 Valuation Model incl. new BP" xfId="3264"/>
    <cellStyle name="_TableHead_02 TDC Merger Plan_39 Valuation Model incl. new BP" xfId="3265"/>
    <cellStyle name="_TableHead_02 TDC Merger Plan_40 Valuation Model incl. new BP" xfId="3266"/>
    <cellStyle name="_TableHead_02 TDC Merger Plan_44 Valuation Model incl. new BP" xfId="3267"/>
    <cellStyle name="_TableHead_02 WACC Analysis" xfId="430"/>
    <cellStyle name="_TableHead_03 Total Expenses" xfId="3268"/>
    <cellStyle name="_TableHead_04 Volatility" xfId="3269"/>
    <cellStyle name="_TableHead_08 model" xfId="3270"/>
    <cellStyle name="_TableHead_16 Detail of Key Metrics_mario marco" xfId="2238"/>
    <cellStyle name="_TableHead_16 Detail of Key Metrics_mario marco_Quasi Rent Illustration" xfId="2239"/>
    <cellStyle name="_TableHead_16 Detail of Key Metrics_mario marco_YLC" xfId="2240"/>
    <cellStyle name="_TableHead_19 Valuation of Cegetel" xfId="3271"/>
    <cellStyle name="_TableHead_19 Valuation of Cegetel_03_ Clean LBO Model" xfId="3272"/>
    <cellStyle name="_TableHead_19 Valuation of Cegetel_05_ Clean LBO Model" xfId="3273"/>
    <cellStyle name="_TableHead_19 Valuation of Cegetel_08 Valuation Model incl. new BP" xfId="3274"/>
    <cellStyle name="_TableHead_19 Valuation of Cegetel_09 Valuation Model incl. new BP" xfId="3275"/>
    <cellStyle name="_TableHead_19 Valuation of Cegetel_13 Valuation Model incl. new BP" xfId="3276"/>
    <cellStyle name="_TableHead_19 Valuation of Cegetel_14 Valuation Model incl. new BP" xfId="3277"/>
    <cellStyle name="_TableHead_19 Valuation of Cegetel_15_ Clean LBO Model" xfId="3278"/>
    <cellStyle name="_TableHead_19 Valuation of Cegetel_20 Valuation Model incl. new BP" xfId="3279"/>
    <cellStyle name="_TableHead_19 Valuation of Cegetel_25 Valuation Model incl. new BP" xfId="3280"/>
    <cellStyle name="_TableHead_19 Valuation of Cegetel_33 Valuation Model incl. new BP" xfId="3281"/>
    <cellStyle name="_TableHead_19 Valuation of Cegetel_34 Valuation Model incl. new BP" xfId="3282"/>
    <cellStyle name="_TableHead_19 Valuation of Cegetel_37 Valuation Model incl. new BP" xfId="3283"/>
    <cellStyle name="_TableHead_19 Valuation of Cegetel_38 Valuation Model incl. new BP" xfId="3284"/>
    <cellStyle name="_TableHead_19 Valuation of Cegetel_39 Valuation Model incl. new BP" xfId="3285"/>
    <cellStyle name="_TableHead_19 Valuation of Cegetel_40 Valuation Model incl. new BP" xfId="3286"/>
    <cellStyle name="_TableHead_19 Valuation of Cegetel_44 Valuation Model incl. new BP" xfId="3287"/>
    <cellStyle name="_TableHead_20 Operational Model" xfId="3288"/>
    <cellStyle name="_TableHead_44 Valuation Model incl. new BP" xfId="3289"/>
    <cellStyle name="_TableHead_Betas" xfId="431"/>
    <cellStyle name="_TableHead_Cairo LBO model - Sept 06" xfId="432"/>
    <cellStyle name="_TableHead_Feeder" xfId="433"/>
    <cellStyle name="_TableHead_M&amp;A Model" xfId="434"/>
    <cellStyle name="_TableHead_M&amp;A projections" xfId="435"/>
    <cellStyle name="_TableHead_MTU Diesel LBO Model" xfId="436"/>
    <cellStyle name="_TableHead_Offering Breakdown - 09-Jun -2005" xfId="3290"/>
    <cellStyle name="_TableHead_Quasi Rent Illustration" xfId="2241"/>
    <cellStyle name="_TableHead_RIM Pharma Projections v03" xfId="437"/>
    <cellStyle name="_TableHead_StockGroupKeyFinancials" xfId="438"/>
    <cellStyle name="_TableHead_underwrite table" xfId="439"/>
    <cellStyle name="_TableHead_Volatility" xfId="3291"/>
    <cellStyle name="_TableHead_YLC" xfId="2242"/>
    <cellStyle name="_TableHeading" xfId="3292"/>
    <cellStyle name="_TableRowBorder" xfId="3293"/>
    <cellStyle name="_TableRowHead" xfId="440"/>
    <cellStyle name="_TableRowHead_01 Capital Structure" xfId="3294"/>
    <cellStyle name="_TableRowHead_01 Capital Structure_03_ Clean LBO Model" xfId="3295"/>
    <cellStyle name="_TableRowHead_01 Capital Structure_05_ Clean LBO Model" xfId="3296"/>
    <cellStyle name="_TableRowHead_01 Capital Structure_08 Valuation Model incl. new BP" xfId="3297"/>
    <cellStyle name="_TableRowHead_01 Capital Structure_09 Valuation Model incl. new BP" xfId="3298"/>
    <cellStyle name="_TableRowHead_01 Capital Structure_13 Valuation Model incl. new BP" xfId="3299"/>
    <cellStyle name="_TableRowHead_01 Capital Structure_14 Valuation Model incl. new BP" xfId="3300"/>
    <cellStyle name="_TableRowHead_01 Capital Structure_15_ Clean LBO Model" xfId="3301"/>
    <cellStyle name="_TableRowHead_01 Capital Structure_20 Valuation Model incl. new BP" xfId="3302"/>
    <cellStyle name="_TableRowHead_01 Capital Structure_25 Valuation Model incl. new BP" xfId="3303"/>
    <cellStyle name="_TableRowHead_01 Capital Structure_33 Valuation Model incl. new BP" xfId="3304"/>
    <cellStyle name="_TableRowHead_01 Capital Structure_34 Valuation Model incl. new BP" xfId="3305"/>
    <cellStyle name="_TableRowHead_01 Capital Structure_37 Valuation Model incl. new BP" xfId="3306"/>
    <cellStyle name="_TableRowHead_01 Capital Structure_38 Valuation Model incl. new BP" xfId="3307"/>
    <cellStyle name="_TableRowHead_01 Capital Structure_39 Valuation Model incl. new BP" xfId="3308"/>
    <cellStyle name="_TableRowHead_01 Capital Structure_40 Valuation Model incl. new BP" xfId="3309"/>
    <cellStyle name="_TableRowHead_01 Capital Structure_44 Valuation Model incl. new BP" xfId="3310"/>
    <cellStyle name="_TableRowHead_01 Offering Breakdown" xfId="3311"/>
    <cellStyle name="_TableRowHead_02 Enersys Merger Plan" xfId="3312"/>
    <cellStyle name="_TableRowHead_02 Enersys Merger Plan_03_ Clean LBO Model" xfId="3313"/>
    <cellStyle name="_TableRowHead_02 Enersys Merger Plan_05_ Clean LBO Model" xfId="3314"/>
    <cellStyle name="_TableRowHead_02 Enersys Merger Plan_08 Valuation Model incl. new BP" xfId="3315"/>
    <cellStyle name="_TableRowHead_02 Enersys Merger Plan_09 Valuation Model incl. new BP" xfId="3316"/>
    <cellStyle name="_TableRowHead_02 Enersys Merger Plan_13 Valuation Model incl. new BP" xfId="3317"/>
    <cellStyle name="_TableRowHead_02 Enersys Merger Plan_14 Valuation Model incl. new BP" xfId="3318"/>
    <cellStyle name="_TableRowHead_02 Enersys Merger Plan_15_ Clean LBO Model" xfId="3319"/>
    <cellStyle name="_TableRowHead_02 Enersys Merger Plan_20 Valuation Model incl. new BP" xfId="3320"/>
    <cellStyle name="_TableRowHead_02 Enersys Merger Plan_25 Valuation Model incl. new BP" xfId="3321"/>
    <cellStyle name="_TableRowHead_02 Enersys Merger Plan_33 Valuation Model incl. new BP" xfId="3322"/>
    <cellStyle name="_TableRowHead_02 Enersys Merger Plan_34 Valuation Model incl. new BP" xfId="3323"/>
    <cellStyle name="_TableRowHead_02 Enersys Merger Plan_37 Valuation Model incl. new BP" xfId="3324"/>
    <cellStyle name="_TableRowHead_02 Enersys Merger Plan_38 Valuation Model incl. new BP" xfId="3325"/>
    <cellStyle name="_TableRowHead_02 Enersys Merger Plan_39 Valuation Model incl. new BP" xfId="3326"/>
    <cellStyle name="_TableRowHead_02 Enersys Merger Plan_40 Valuation Model incl. new BP" xfId="3327"/>
    <cellStyle name="_TableRowHead_02 Enersys Merger Plan_44 Valuation Model incl. new BP" xfId="3328"/>
    <cellStyle name="_TableRowHead_02 TDC Merger Plan" xfId="3329"/>
    <cellStyle name="_TableRowHead_02 TDC Merger Plan_03_ Clean LBO Model" xfId="3330"/>
    <cellStyle name="_TableRowHead_02 TDC Merger Plan_05_ Clean LBO Model" xfId="3331"/>
    <cellStyle name="_TableRowHead_02 TDC Merger Plan_08 Valuation Model incl. new BP" xfId="3332"/>
    <cellStyle name="_TableRowHead_02 TDC Merger Plan_09 Valuation Model incl. new BP" xfId="3333"/>
    <cellStyle name="_TableRowHead_02 TDC Merger Plan_13 Valuation Model incl. new BP" xfId="3334"/>
    <cellStyle name="_TableRowHead_02 TDC Merger Plan_14 Valuation Model incl. new BP" xfId="3335"/>
    <cellStyle name="_TableRowHead_02 TDC Merger Plan_15_ Clean LBO Model" xfId="3336"/>
    <cellStyle name="_TableRowHead_02 TDC Merger Plan_20 Valuation Model incl. new BP" xfId="3337"/>
    <cellStyle name="_TableRowHead_02 TDC Merger Plan_25 Valuation Model incl. new BP" xfId="3338"/>
    <cellStyle name="_TableRowHead_02 TDC Merger Plan_33 Valuation Model incl. new BP" xfId="3339"/>
    <cellStyle name="_TableRowHead_02 TDC Merger Plan_34 Valuation Model incl. new BP" xfId="3340"/>
    <cellStyle name="_TableRowHead_02 TDC Merger Plan_37 Valuation Model incl. new BP" xfId="3341"/>
    <cellStyle name="_TableRowHead_02 TDC Merger Plan_38 Valuation Model incl. new BP" xfId="3342"/>
    <cellStyle name="_TableRowHead_02 TDC Merger Plan_39 Valuation Model incl. new BP" xfId="3343"/>
    <cellStyle name="_TableRowHead_02 TDC Merger Plan_40 Valuation Model incl. new BP" xfId="3344"/>
    <cellStyle name="_TableRowHead_02 TDC Merger Plan_44 Valuation Model incl. new BP" xfId="3345"/>
    <cellStyle name="_TableRowHead_02 WACC Analysis" xfId="441"/>
    <cellStyle name="_TableRowHead_03 Total Expenses" xfId="3346"/>
    <cellStyle name="_TableRowHead_04 Volatility" xfId="3347"/>
    <cellStyle name="_TableRowHead_08 model" xfId="3348"/>
    <cellStyle name="_TableRowHead_19 Valuation of Cegetel" xfId="3349"/>
    <cellStyle name="_TableRowHead_19 Valuation of Cegetel_03_ Clean LBO Model" xfId="3350"/>
    <cellStyle name="_TableRowHead_19 Valuation of Cegetel_05_ Clean LBO Model" xfId="3351"/>
    <cellStyle name="_TableRowHead_19 Valuation of Cegetel_08 Valuation Model incl. new BP" xfId="3352"/>
    <cellStyle name="_TableRowHead_19 Valuation of Cegetel_09 Valuation Model incl. new BP" xfId="3353"/>
    <cellStyle name="_TableRowHead_19 Valuation of Cegetel_13 Valuation Model incl. new BP" xfId="3354"/>
    <cellStyle name="_TableRowHead_19 Valuation of Cegetel_14 Valuation Model incl. new BP" xfId="3355"/>
    <cellStyle name="_TableRowHead_19 Valuation of Cegetel_15_ Clean LBO Model" xfId="3356"/>
    <cellStyle name="_TableRowHead_19 Valuation of Cegetel_20 Valuation Model incl. new BP" xfId="3357"/>
    <cellStyle name="_TableRowHead_19 Valuation of Cegetel_25 Valuation Model incl. new BP" xfId="3358"/>
    <cellStyle name="_TableRowHead_19 Valuation of Cegetel_33 Valuation Model incl. new BP" xfId="3359"/>
    <cellStyle name="_TableRowHead_19 Valuation of Cegetel_34 Valuation Model incl. new BP" xfId="3360"/>
    <cellStyle name="_TableRowHead_19 Valuation of Cegetel_37 Valuation Model incl. new BP" xfId="3361"/>
    <cellStyle name="_TableRowHead_19 Valuation of Cegetel_38 Valuation Model incl. new BP" xfId="3362"/>
    <cellStyle name="_TableRowHead_19 Valuation of Cegetel_39 Valuation Model incl. new BP" xfId="3363"/>
    <cellStyle name="_TableRowHead_19 Valuation of Cegetel_40 Valuation Model incl. new BP" xfId="3364"/>
    <cellStyle name="_TableRowHead_19 Valuation of Cegetel_44 Valuation Model incl. new BP" xfId="3365"/>
    <cellStyle name="_TableRowHead_20 Operational Model" xfId="3366"/>
    <cellStyle name="_TableRowHead_44 Valuation Model incl. new BP" xfId="3367"/>
    <cellStyle name="_TableRowHead_Betas" xfId="442"/>
    <cellStyle name="_TableRowHead_Cairo LBO model - Sept 06" xfId="443"/>
    <cellStyle name="_TableRowHead_Offering Breakdown - 09-Jun -2005" xfId="3368"/>
    <cellStyle name="_TableRowHead_StockGroupKeyFinancials" xfId="444"/>
    <cellStyle name="_TableRowHead_Telenet Client Financing Model 20030924" xfId="3369"/>
    <cellStyle name="_TableRowHead_Volatility" xfId="3370"/>
    <cellStyle name="_TableRowHeading" xfId="3371"/>
    <cellStyle name="_TableSuperHead" xfId="445"/>
    <cellStyle name="_TableSuperHead_02 WACC Analysis" xfId="446"/>
    <cellStyle name="_TableSuperHead_03 Total Expenses" xfId="3372"/>
    <cellStyle name="_TableSuperHead_04 Volatility" xfId="3373"/>
    <cellStyle name="_TableSuperHead_44 Valuation Model incl. new BP" xfId="3374"/>
    <cellStyle name="_TableSuperHead_Betas" xfId="447"/>
    <cellStyle name="_TableSuperHead_Cairo LBO model - Sept 06" xfId="448"/>
    <cellStyle name="_TableSuperHead_Offering Breakdown - 09-Jun -2005" xfId="3375"/>
    <cellStyle name="_TableSuperHead_StockGroupKeyFinancials" xfId="449"/>
    <cellStyle name="_TableSuperHead_Volatility" xfId="3376"/>
    <cellStyle name="_TableText" xfId="3377"/>
    <cellStyle name="_UBSIB_GSF_Model_Feb_2006v3" xfId="2243"/>
    <cellStyle name="_underwrite table" xfId="450"/>
    <cellStyle name="_Version 10" xfId="2244"/>
    <cellStyle name="_Version 9" xfId="2245"/>
    <cellStyle name="_VNU Operating Model V4" xfId="451"/>
    <cellStyle name="_WACC Attack (Fairness Approved)" xfId="3632"/>
    <cellStyle name="’Ê‰Ý [0.00]_GE 3 MINIMUM" xfId="452"/>
    <cellStyle name="’Ê‰Ý_GE 3 MINIMUM" xfId="453"/>
    <cellStyle name="¢" xfId="455"/>
    <cellStyle name="¢ Currency [1]" xfId="456"/>
    <cellStyle name="¢ Currency [2]" xfId="457"/>
    <cellStyle name="¢ Currency [3]" xfId="458"/>
    <cellStyle name="¢_Feeder" xfId="459"/>
    <cellStyle name="¢_M&amp;A Model" xfId="460"/>
    <cellStyle name="¢_temp templates2" xfId="461"/>
    <cellStyle name="£" xfId="2246"/>
    <cellStyle name="£ BP" xfId="462"/>
    <cellStyle name="£ Currency" xfId="463"/>
    <cellStyle name="£ Currency [0]" xfId="464"/>
    <cellStyle name="£ Currency [1]" xfId="465"/>
    <cellStyle name="£ Currency [2]" xfId="466"/>
    <cellStyle name="£0" xfId="467"/>
    <cellStyle name="£1" xfId="468"/>
    <cellStyle name="£2" xfId="469"/>
    <cellStyle name="£Currency [0]" xfId="470"/>
    <cellStyle name="£Currency [1]" xfId="471"/>
    <cellStyle name="£Currency [2]" xfId="472"/>
    <cellStyle name="£Currency [p]" xfId="473"/>
    <cellStyle name="£Currency [p2]" xfId="474"/>
    <cellStyle name="£Pounds" xfId="475"/>
    <cellStyle name="¥ JY" xfId="476"/>
    <cellStyle name="€" xfId="2247"/>
    <cellStyle name="€ Currency" xfId="479"/>
    <cellStyle name="+" xfId="2248"/>
    <cellStyle name="+_Quasi Rent Illustration" xfId="2249"/>
    <cellStyle name="+_YLC" xfId="2250"/>
    <cellStyle name="=C:\WINNT\SYSTEM32\COMMAND.COM" xfId="3633"/>
    <cellStyle name="=C:\WINNT35\SYSTEM32\COMMAND.COM" xfId="454"/>
    <cellStyle name="•W€_GE 3 MINIMUM" xfId="478"/>
    <cellStyle name="•W_GE 3 MINIMUM" xfId="477"/>
    <cellStyle name="0" xfId="480"/>
    <cellStyle name="0%" xfId="481"/>
    <cellStyle name="0,0_x000d__x000a_NA_x000d__x000a_" xfId="482"/>
    <cellStyle name="0.0" xfId="483"/>
    <cellStyle name="0.0 x" xfId="484"/>
    <cellStyle name="0.0%" xfId="485"/>
    <cellStyle name="0.0_temp templates2" xfId="486"/>
    <cellStyle name="0.00" xfId="487"/>
    <cellStyle name="0.00%" xfId="488"/>
    <cellStyle name="0.0x" xfId="489"/>
    <cellStyle name="0_BP2" xfId="3378"/>
    <cellStyle name="0_Bullet model 122_temp templates2" xfId="490"/>
    <cellStyle name="0_Grandvision_LBO2" xfId="491"/>
    <cellStyle name="0_Proforma Model 100701 v.5" xfId="492"/>
    <cellStyle name="000" xfId="493"/>
    <cellStyle name="0000" xfId="494"/>
    <cellStyle name="0x" xfId="495"/>
    <cellStyle name="1 decimal" xfId="3379"/>
    <cellStyle name="1,000" xfId="3380"/>
    <cellStyle name="1,000x" xfId="3381"/>
    <cellStyle name="1,comma" xfId="496"/>
    <cellStyle name="1_HardCode" xfId="3634"/>
    <cellStyle name="2" xfId="497"/>
    <cellStyle name="2 decimal" xfId="3382"/>
    <cellStyle name="2 Decimals" xfId="3383"/>
    <cellStyle name="2_OtherSheet" xfId="3635"/>
    <cellStyle name="20% - Accent1 2" xfId="3384"/>
    <cellStyle name="20% - Accent1 2 2" xfId="3385"/>
    <cellStyle name="20% - Accent1 3" xfId="3386"/>
    <cellStyle name="20% - Accent1 4" xfId="3387"/>
    <cellStyle name="20% - Accent1 5" xfId="3388"/>
    <cellStyle name="20% - Accent2 2" xfId="3389"/>
    <cellStyle name="20% - Accent2 2 2" xfId="3390"/>
    <cellStyle name="20% - Accent2 3" xfId="3391"/>
    <cellStyle name="20% - Accent2 4" xfId="3392"/>
    <cellStyle name="20% - Accent2 5" xfId="3393"/>
    <cellStyle name="20% - Accent3 2" xfId="3394"/>
    <cellStyle name="20% - Accent3 2 2" xfId="3395"/>
    <cellStyle name="20% - Accent3 3" xfId="3396"/>
    <cellStyle name="20% - Accent3 4" xfId="3397"/>
    <cellStyle name="20% - Accent3 5" xfId="3398"/>
    <cellStyle name="20% - Accent4 2" xfId="3399"/>
    <cellStyle name="20% - Accent4 2 2" xfId="3400"/>
    <cellStyle name="20% - Accent4 3" xfId="3401"/>
    <cellStyle name="20% - Accent4 4" xfId="3402"/>
    <cellStyle name="20% - Accent4 5" xfId="3403"/>
    <cellStyle name="20% - Accent5 2" xfId="3404"/>
    <cellStyle name="20% - Accent5 2 2" xfId="3405"/>
    <cellStyle name="20% - Accent5 3" xfId="3406"/>
    <cellStyle name="20% - Accent5 4" xfId="3407"/>
    <cellStyle name="20% - Accent5 5" xfId="3408"/>
    <cellStyle name="20% - Accent6 2" xfId="3409"/>
    <cellStyle name="20% - Accent6 2 2" xfId="3410"/>
    <cellStyle name="20% - Accent6 3" xfId="3411"/>
    <cellStyle name="20% - Accent6 4" xfId="3412"/>
    <cellStyle name="20% - Accent6 5" xfId="3413"/>
    <cellStyle name="3" xfId="2251"/>
    <cellStyle name="3 Decimals" xfId="3414"/>
    <cellStyle name="3_Quasi Rent Illustration" xfId="2252"/>
    <cellStyle name="3_YLC" xfId="2253"/>
    <cellStyle name="40% - Accent1 2" xfId="3415"/>
    <cellStyle name="40% - Accent1 2 2" xfId="3416"/>
    <cellStyle name="40% - Accent1 3" xfId="3417"/>
    <cellStyle name="40% - Accent1 4" xfId="3418"/>
    <cellStyle name="40% - Accent1 5" xfId="3419"/>
    <cellStyle name="40% - Accent2 2" xfId="3420"/>
    <cellStyle name="40% - Accent2 2 2" xfId="3421"/>
    <cellStyle name="40% - Accent2 3" xfId="3422"/>
    <cellStyle name="40% - Accent2 4" xfId="3423"/>
    <cellStyle name="40% - Accent2 5" xfId="3424"/>
    <cellStyle name="40% - Accent3 2" xfId="3425"/>
    <cellStyle name="40% - Accent3 2 2" xfId="3426"/>
    <cellStyle name="40% - Accent3 3" xfId="3427"/>
    <cellStyle name="40% - Accent3 4" xfId="3428"/>
    <cellStyle name="40% - Accent3 5" xfId="3429"/>
    <cellStyle name="40% - Accent4 2" xfId="3430"/>
    <cellStyle name="40% - Accent4 2 2" xfId="3431"/>
    <cellStyle name="40% - Accent4 3" xfId="3432"/>
    <cellStyle name="40% - Accent4 4" xfId="3433"/>
    <cellStyle name="40% - Accent4 5" xfId="3434"/>
    <cellStyle name="40% - Accent5 2" xfId="3435"/>
    <cellStyle name="40% - Accent5 2 2" xfId="3436"/>
    <cellStyle name="40% - Accent5 3" xfId="3437"/>
    <cellStyle name="40% - Accent5 4" xfId="3438"/>
    <cellStyle name="40% - Accent5 5" xfId="3439"/>
    <cellStyle name="40% - Accent6 2" xfId="3440"/>
    <cellStyle name="40% - Accent6 2 2" xfId="3441"/>
    <cellStyle name="40% - Accent6 3" xfId="3442"/>
    <cellStyle name="40% - Accent6 4" xfId="3443"/>
    <cellStyle name="40% - Accent6 5" xfId="3444"/>
    <cellStyle name="5_Percent" xfId="3636"/>
    <cellStyle name="5_Percent 5" xfId="3625"/>
    <cellStyle name="60% - Accent1 2" xfId="3445"/>
    <cellStyle name="60% - Accent1 2 2" xfId="3446"/>
    <cellStyle name="60% - Accent2 2" xfId="3447"/>
    <cellStyle name="60% - Accent2 2 2" xfId="3448"/>
    <cellStyle name="60% - Accent3 2" xfId="3449"/>
    <cellStyle name="60% - Accent3 2 2" xfId="3450"/>
    <cellStyle name="60% - Accent4 2" xfId="3451"/>
    <cellStyle name="60% - Accent4 2 2" xfId="3452"/>
    <cellStyle name="60% - Accent5 2" xfId="3453"/>
    <cellStyle name="60% - Accent5 2 2" xfId="3454"/>
    <cellStyle name="60% - Accent6 2" xfId="3455"/>
    <cellStyle name="60% - Accent6 2 2" xfId="3456"/>
    <cellStyle name="752131" xfId="498"/>
    <cellStyle name="a" xfId="6"/>
    <cellStyle name="ac" xfId="499"/>
    <cellStyle name="Accent1 2" xfId="3457"/>
    <cellStyle name="Accent1 2 2" xfId="3458"/>
    <cellStyle name="Accent2 2" xfId="3459"/>
    <cellStyle name="Accent2 2 2" xfId="3460"/>
    <cellStyle name="Accent3 2" xfId="3461"/>
    <cellStyle name="Accent3 2 2" xfId="3462"/>
    <cellStyle name="Accent4 2" xfId="3463"/>
    <cellStyle name="Accent4 2 2" xfId="3464"/>
    <cellStyle name="Accent5 2" xfId="3465"/>
    <cellStyle name="Accent5 2 2" xfId="3466"/>
    <cellStyle name="Accent6 2" xfId="3467"/>
    <cellStyle name="Accent6 2 2" xfId="3468"/>
    <cellStyle name="acct" xfId="3469"/>
    <cellStyle name="Acct 0" xfId="500"/>
    <cellStyle name="Acct 1" xfId="501"/>
    <cellStyle name="Acct 1,$" xfId="502"/>
    <cellStyle name="Acquisition" xfId="503"/>
    <cellStyle name="act" xfId="3470"/>
    <cellStyle name="Actual data" xfId="3471"/>
    <cellStyle name="Actual Date" xfId="504"/>
    <cellStyle name="Actual year" xfId="3472"/>
    <cellStyle name="Actuals Cells" xfId="3473"/>
    <cellStyle name="AFE" xfId="505"/>
    <cellStyle name="aht" xfId="506"/>
    <cellStyle name="AJHCustom" xfId="3474"/>
    <cellStyle name="Año" xfId="507"/>
    <cellStyle name="ARaging" xfId="508"/>
    <cellStyle name="args.style" xfId="1745"/>
    <cellStyle name="arial" xfId="3475"/>
    <cellStyle name="Arial 10" xfId="509"/>
    <cellStyle name="Arial 12" xfId="510"/>
    <cellStyle name="Arial6Bold" xfId="3476"/>
    <cellStyle name="Arial8Bold" xfId="3477"/>
    <cellStyle name="Arial8Italic" xfId="3478"/>
    <cellStyle name="ArialNormal" xfId="511"/>
    <cellStyle name="As_Reported" xfId="3479"/>
    <cellStyle name="AsNorm" xfId="512"/>
    <cellStyle name="AsPer" xfId="513"/>
    <cellStyle name="Ass_perc" xfId="514"/>
    <cellStyle name="Assum 0" xfId="515"/>
    <cellStyle name="Assum 0 2" xfId="3655"/>
    <cellStyle name="Assum 1,$" xfId="516"/>
    <cellStyle name="Assum 1,$ 2" xfId="3656"/>
    <cellStyle name="Assum 1,%" xfId="517"/>
    <cellStyle name="Assum 1,% 2" xfId="3657"/>
    <cellStyle name="Assumption" xfId="518"/>
    <cellStyle name="Assumptions" xfId="519"/>
    <cellStyle name="Assumptions % 0 dp" xfId="520"/>
    <cellStyle name="Assumptions % 1 dp" xfId="521"/>
    <cellStyle name="Assumptions % 2 dp" xfId="522"/>
    <cellStyle name="Assumptions % 3 dp" xfId="523"/>
    <cellStyle name="Assumptions 0 dp" xfId="524"/>
    <cellStyle name="Assumptions 1 dp" xfId="525"/>
    <cellStyle name="Assumptions 2 dp" xfId="526"/>
    <cellStyle name="Assumptions 3 dp" xfId="527"/>
    <cellStyle name="Assumptions x 1 dp" xfId="528"/>
    <cellStyle name="Assumptions x 2 dp" xfId="529"/>
    <cellStyle name="ast" xfId="530"/>
    <cellStyle name="at" xfId="531"/>
    <cellStyle name="Attention" xfId="532"/>
    <cellStyle name="Awaiting LAS" xfId="3480"/>
    <cellStyle name="b" xfId="533"/>
    <cellStyle name="b$0" xfId="534"/>
    <cellStyle name="b$1" xfId="535"/>
    <cellStyle name="b$2" xfId="536"/>
    <cellStyle name="b%0" xfId="537"/>
    <cellStyle name="b%1" xfId="538"/>
    <cellStyle name="b%2" xfId="539"/>
    <cellStyle name="b_Eagle Bear model v8" xfId="540"/>
    <cellStyle name="b_Feeder" xfId="541"/>
    <cellStyle name="b_GKN_FNM model v3" xfId="542"/>
    <cellStyle name="b_GKN_FNM model v3 2" xfId="3658"/>
    <cellStyle name="b_Impress - Shareholder returns - JPM Apr 26" xfId="543"/>
    <cellStyle name="b_M&amp;A Model" xfId="544"/>
    <cellStyle name="b_M&amp;A projections" xfId="545"/>
    <cellStyle name="b_Mivisa DCF v1" xfId="546"/>
    <cellStyle name="b_Project Lucy model v40 160305" xfId="8"/>
    <cellStyle name="b_Project Lucy model v40 160305 2" xfId="2254"/>
    <cellStyle name="b_Project Lucy model v40 160305 2 2" xfId="3713"/>
    <cellStyle name="b_Project Lucy model v40 160305 3" xfId="3644"/>
    <cellStyle name="b_Project Lucy model v40 160305_Gondola Debt &amp; Valuation Model - 041109" xfId="1688"/>
    <cellStyle name="b_Project Lucy model v40 160305_Gondola Debt &amp; Valuation Model - 041109 2" xfId="3700"/>
    <cellStyle name="b£0" xfId="547"/>
    <cellStyle name="b£1" xfId="548"/>
    <cellStyle name="b£2" xfId="549"/>
    <cellStyle name="b0" xfId="550"/>
    <cellStyle name="b09" xfId="551"/>
    <cellStyle name="b1" xfId="552"/>
    <cellStyle name="b2" xfId="553"/>
    <cellStyle name="Bad 2" xfId="3481"/>
    <cellStyle name="Bad 2 2" xfId="3482"/>
    <cellStyle name="BalanceSheet" xfId="554"/>
    <cellStyle name="Banner" xfId="3483"/>
    <cellStyle name="Basic" xfId="555"/>
    <cellStyle name="Basis points" xfId="556"/>
    <cellStyle name="bbox" xfId="3484"/>
    <cellStyle name="Besuchter Hyperlink_Key assumptions GX companies" xfId="557"/>
    <cellStyle name="Billion" xfId="558"/>
    <cellStyle name="bjla" xfId="559"/>
    <cellStyle name="bl" xfId="560"/>
    <cellStyle name="black" xfId="561"/>
    <cellStyle name="Black block" xfId="562"/>
    <cellStyle name="Black Text" xfId="563"/>
    <cellStyle name="Black Text (No Wrap)" xfId="564"/>
    <cellStyle name="Black_Feeder" xfId="565"/>
    <cellStyle name="BlackStrike" xfId="566"/>
    <cellStyle name="BlackText" xfId="567"/>
    <cellStyle name="BlackTitle" xfId="568"/>
    <cellStyle name="Blank" xfId="569"/>
    <cellStyle name="Blank [$]" xfId="570"/>
    <cellStyle name="Blank [%]" xfId="571"/>
    <cellStyle name="Blank [,]" xfId="572"/>
    <cellStyle name="Blank [1$]" xfId="573"/>
    <cellStyle name="Blank [1%]" xfId="574"/>
    <cellStyle name="Blank [1,]" xfId="575"/>
    <cellStyle name="Blank [2$]" xfId="576"/>
    <cellStyle name="Blank [2%]" xfId="577"/>
    <cellStyle name="Blank [2,]" xfId="578"/>
    <cellStyle name="Blank [3$]" xfId="579"/>
    <cellStyle name="Blank [3%]" xfId="580"/>
    <cellStyle name="Blank [3,]" xfId="581"/>
    <cellStyle name="blank_Feeder" xfId="582"/>
    <cellStyle name="block" xfId="583"/>
    <cellStyle name="Block Titles" xfId="3485"/>
    <cellStyle name="Block Titles 2" xfId="3808"/>
    <cellStyle name="blp_column_header" xfId="3637"/>
    <cellStyle name="blu" xfId="584"/>
    <cellStyle name="Blue" xfId="585"/>
    <cellStyle name="Blue heading" xfId="3486"/>
    <cellStyle name="blue shading" xfId="586"/>
    <cellStyle name="Blue Text" xfId="587"/>
    <cellStyle name="Blue Text - Ariel 10" xfId="588"/>
    <cellStyle name="Blue Title" xfId="3487"/>
    <cellStyle name="blue$00" xfId="3488"/>
    <cellStyle name="Blue&amp;white" xfId="589"/>
    <cellStyle name="Blue_02 Enersys - SAFT Merger_DH" xfId="3489"/>
    <cellStyle name="BLuedashZero" xfId="590"/>
    <cellStyle name="bluenodec" xfId="591"/>
    <cellStyle name="bluepercent" xfId="592"/>
    <cellStyle name="bo" xfId="593"/>
    <cellStyle name="bobby" xfId="594"/>
    <cellStyle name="Body_$Dollars" xfId="595"/>
    <cellStyle name="bold" xfId="596"/>
    <cellStyle name="Bold/Border" xfId="597"/>
    <cellStyle name="BoldText" xfId="598"/>
    <cellStyle name="BoldText 2" xfId="3659"/>
    <cellStyle name="bord" xfId="3490"/>
    <cellStyle name="Border" xfId="599"/>
    <cellStyle name="Border Heavy" xfId="600"/>
    <cellStyle name="Border Heavy Up" xfId="601"/>
    <cellStyle name="Border Thick" xfId="602"/>
    <cellStyle name="Border Thin" xfId="603"/>
    <cellStyle name="Border Thin Up" xfId="604"/>
    <cellStyle name="Border Thin Up 2" xfId="3660"/>
    <cellStyle name="Border Thin_040921_Eutelsat_LBOModel_v1" xfId="605"/>
    <cellStyle name="Border Years" xfId="3491"/>
    <cellStyle name="Border, Bottom" xfId="606"/>
    <cellStyle name="Border, Left" xfId="607"/>
    <cellStyle name="Border, Right" xfId="608"/>
    <cellStyle name="Border, Right 2" xfId="3661"/>
    <cellStyle name="Border, Top" xfId="609"/>
    <cellStyle name="Border, Top 2" xfId="3662"/>
    <cellStyle name="Border_Quasi Rent Illustration" xfId="2255"/>
    <cellStyle name="Bottom" xfId="610"/>
    <cellStyle name="Bottom bold border" xfId="611"/>
    <cellStyle name="Bottom Edge" xfId="612"/>
    <cellStyle name="Bottom single border" xfId="613"/>
    <cellStyle name="bout" xfId="614"/>
    <cellStyle name="bout 2" xfId="3663"/>
    <cellStyle name="BoxHeading" xfId="615"/>
    <cellStyle name="bp--" xfId="616"/>
    <cellStyle name="Brand Align Left Text" xfId="617"/>
    <cellStyle name="Brand Default" xfId="618"/>
    <cellStyle name="Brand Percent" xfId="619"/>
    <cellStyle name="Brand Source" xfId="620"/>
    <cellStyle name="Brand Subtitle with Underline" xfId="621"/>
    <cellStyle name="Brand Subtitle without Underline" xfId="622"/>
    <cellStyle name="Brand Title" xfId="623"/>
    <cellStyle name="British Pound" xfId="624"/>
    <cellStyle name="BritPound" xfId="625"/>
    <cellStyle name="bss0" xfId="626"/>
    <cellStyle name="bss0 2" xfId="3664"/>
    <cellStyle name="bss2" xfId="627"/>
    <cellStyle name="bss2 2" xfId="3665"/>
    <cellStyle name="bt" xfId="628"/>
    <cellStyle name="btit" xfId="629"/>
    <cellStyle name="Bullet" xfId="630"/>
    <cellStyle name="Bullet [0]" xfId="631"/>
    <cellStyle name="Bullet [2]" xfId="632"/>
    <cellStyle name="Bullet [4]" xfId="633"/>
    <cellStyle name="Buyout" xfId="634"/>
    <cellStyle name="bx0" xfId="635"/>
    <cellStyle name="bx1" xfId="636"/>
    <cellStyle name="bx2" xfId="637"/>
    <cellStyle name="c" xfId="638"/>
    <cellStyle name="c 2" xfId="3492"/>
    <cellStyle name="c_Accretion (2)" xfId="639"/>
    <cellStyle name="c_ad3" xfId="640"/>
    <cellStyle name="c_ad5" xfId="641"/>
    <cellStyle name="c_asko1" xfId="642"/>
    <cellStyle name="c_Bal Sheets (2)" xfId="643"/>
    <cellStyle name="c_btr_2" xfId="644"/>
    <cellStyle name="c_btr_3" xfId="645"/>
    <cellStyle name="c_Cases (2)" xfId="646"/>
    <cellStyle name="c_Cases (2)_Feeder" xfId="647"/>
    <cellStyle name="c_Cases (2)_M&amp;A Model" xfId="648"/>
    <cellStyle name="c_Cases (2)_M&amp;A projections" xfId="649"/>
    <cellStyle name="c_Cases (3)" xfId="650"/>
    <cellStyle name="c_Cases (4)" xfId="651"/>
    <cellStyle name="c_Crown" xfId="652"/>
    <cellStyle name="c_dccmod1" xfId="653"/>
    <cellStyle name="c_DCF Matrix (2)" xfId="654"/>
    <cellStyle name="c_DCF Matrix (3)" xfId="655"/>
    <cellStyle name="c_DCF Matrix (4)" xfId="656"/>
    <cellStyle name="c_DMPR Sale (2)" xfId="657"/>
    <cellStyle name="c_Earnings (2)" xfId="658"/>
    <cellStyle name="c_Earnings (2)_Feeder" xfId="659"/>
    <cellStyle name="c_Earnings (2)_M&amp;A Model" xfId="660"/>
    <cellStyle name="c_Earnings (2)_M&amp;A projections" xfId="661"/>
    <cellStyle name="c_Earn-out (2)" xfId="662"/>
    <cellStyle name="c_Euro 2 (2)" xfId="663"/>
    <cellStyle name="c_Euro PICS (2)" xfId="664"/>
    <cellStyle name="c_Euro PICS (3)" xfId="665"/>
    <cellStyle name="c_Europe (2)" xfId="666"/>
    <cellStyle name="c_Feeder" xfId="667"/>
    <cellStyle name="c_Grouse+Pelican" xfId="668"/>
    <cellStyle name="c_Hist Inputs (2)" xfId="669"/>
    <cellStyle name="c_Hist Inputs (3)" xfId="670"/>
    <cellStyle name="c_Hist Inputs (4)" xfId="671"/>
    <cellStyle name="c_LBO" xfId="672"/>
    <cellStyle name="c_LBO IRR (2)" xfId="673"/>
    <cellStyle name="c_LBO Sens (2)" xfId="674"/>
    <cellStyle name="c_LBO Summary (2)" xfId="675"/>
    <cellStyle name="c_lbo_profstaff1" xfId="3493"/>
    <cellStyle name="c_lbo_profstaff1 2" xfId="3494"/>
    <cellStyle name="c_lbo1" xfId="676"/>
    <cellStyle name="c_lbo3" xfId="677"/>
    <cellStyle name="c_LBO5" xfId="678"/>
    <cellStyle name="c_M&amp;A Model" xfId="679"/>
    <cellStyle name="c_M&amp;A projections" xfId="680"/>
    <cellStyle name="c_Macros" xfId="681"/>
    <cellStyle name="c_Macros (2)" xfId="682"/>
    <cellStyle name="c_Manager (2)" xfId="683"/>
    <cellStyle name="c_mod7" xfId="684"/>
    <cellStyle name="c_mod9" xfId="685"/>
    <cellStyle name="c_model1" xfId="686"/>
    <cellStyle name="c_model6" xfId="687"/>
    <cellStyle name="c_NOL (2)" xfId="688"/>
    <cellStyle name="c_PFMA Cap (2)" xfId="689"/>
    <cellStyle name="c_PFMA Credit (2)" xfId="690"/>
    <cellStyle name="c_quarterly template" xfId="691"/>
    <cellStyle name="c_Restructuring (2)" xfId="692"/>
    <cellStyle name="c_Revised" xfId="693"/>
    <cellStyle name="c_saft_1" xfId="694"/>
    <cellStyle name="c_Schedules (2)" xfId="695"/>
    <cellStyle name="c_Spring Final model" xfId="696"/>
    <cellStyle name="c_Standalone (2)" xfId="697"/>
    <cellStyle name="c_Trading Val Calc (2)" xfId="698"/>
    <cellStyle name="c_Val Sum (2)" xfId="699"/>
    <cellStyle name="c_WACC benchmarking" xfId="700"/>
    <cellStyle name="c_WACC benchmarking_Blank LBO Model v15" xfId="701"/>
    <cellStyle name="c_WACC benchmarking_Crown Holdings  - LBO Model 1.8 covenants_3 Aug" xfId="702"/>
    <cellStyle name="c_WACC benchmarking_George - LBO Model 3.1" xfId="703"/>
    <cellStyle name="c_West Ham (2)" xfId="704"/>
    <cellStyle name="c_Westham (2)" xfId="705"/>
    <cellStyle name="c_Wool_01_07_12_1999" xfId="706"/>
    <cellStyle name="c_Wool_14_12_1999_2" xfId="707"/>
    <cellStyle name="c_Wool_15_02_2000" xfId="708"/>
    <cellStyle name="c_Wool_28_01_2000_02" xfId="709"/>
    <cellStyle name="c_WoolEuro_12_04_2000_02" xfId="710"/>
    <cellStyle name="c_WoolEuro_17_03_2000" xfId="711"/>
    <cellStyle name="c_WoolEuro_20_03_2000_3" xfId="712"/>
    <cellStyle name="c_WoolEuroEx_14_04_2000_01" xfId="713"/>
    <cellStyle name="c0" xfId="714"/>
    <cellStyle name="c2" xfId="715"/>
    <cellStyle name="Cabecera 1" xfId="3495"/>
    <cellStyle name="Cabecera 2" xfId="3496"/>
    <cellStyle name="cach" xfId="716"/>
    <cellStyle name="CALC Amount" xfId="2256"/>
    <cellStyle name="CALC Amount Total" xfId="2257"/>
    <cellStyle name="CALC Amount Total 2" xfId="3714"/>
    <cellStyle name="Calc Cells" xfId="3497"/>
    <cellStyle name="Calc Currency (0)" xfId="717"/>
    <cellStyle name="Calc Currency (2)" xfId="718"/>
    <cellStyle name="Calc Percent (0)" xfId="719"/>
    <cellStyle name="Calc Percent (1)" xfId="720"/>
    <cellStyle name="Calc Percent (2)" xfId="721"/>
    <cellStyle name="Calc Units (0)" xfId="722"/>
    <cellStyle name="Calc Units (1)" xfId="723"/>
    <cellStyle name="Calc Units (2)" xfId="724"/>
    <cellStyle name="Calcs" xfId="725"/>
    <cellStyle name="Calculation 2" xfId="3498"/>
    <cellStyle name="Calculation 2 2" xfId="3499"/>
    <cellStyle name="Case" xfId="726"/>
    <cellStyle name="CashFlow" xfId="727"/>
    <cellStyle name="CATV Total" xfId="728"/>
    <cellStyle name="CB" xfId="729"/>
    <cellStyle name="center" xfId="730"/>
    <cellStyle name="Cents" xfId="731"/>
    <cellStyle name="Ch, Column Header" xfId="732"/>
    <cellStyle name="Change" xfId="733"/>
    <cellStyle name="Changeable" xfId="734"/>
    <cellStyle name="Check" xfId="735"/>
    <cellStyle name="Check Cell 2" xfId="3500"/>
    <cellStyle name="Check Cell 2 2" xfId="3501"/>
    <cellStyle name="Choose Number" xfId="736"/>
    <cellStyle name="CK_BrokersInput" xfId="737"/>
    <cellStyle name="claire" xfId="3502"/>
    <cellStyle name="CLEAR" xfId="738"/>
    <cellStyle name="Client Name" xfId="739"/>
    <cellStyle name="co" xfId="740"/>
    <cellStyle name="COL HEADINGS" xfId="741"/>
    <cellStyle name="Colhead_left" xfId="742"/>
    <cellStyle name="ColHeading" xfId="743"/>
    <cellStyle name="colheadleft" xfId="744"/>
    <cellStyle name="colheadright" xfId="745"/>
    <cellStyle name="Collegamento ipertestuale_MIDI MEDIA1" xfId="3503"/>
    <cellStyle name="Column Heading" xfId="746"/>
    <cellStyle name="Column Headings" xfId="747"/>
    <cellStyle name="Column Title" xfId="748"/>
    <cellStyle name="column_heading" xfId="749"/>
    <cellStyle name="ColumnHead" xfId="750"/>
    <cellStyle name="ColumnHeaders" xfId="751"/>
    <cellStyle name="ColumnHeading" xfId="752"/>
    <cellStyle name="Comma  - Style1" xfId="753"/>
    <cellStyle name="Comma  - Style2" xfId="754"/>
    <cellStyle name="Comma  - Style3" xfId="755"/>
    <cellStyle name="Comma  - Style4" xfId="756"/>
    <cellStyle name="Comma  - Style5" xfId="757"/>
    <cellStyle name="Comma  - Style6" xfId="758"/>
    <cellStyle name="Comma  - Style7" xfId="759"/>
    <cellStyle name="Comma  - Style8" xfId="760"/>
    <cellStyle name="Comma (0)" xfId="761"/>
    <cellStyle name="Comma (0dp)" xfId="762"/>
    <cellStyle name="Comma (1dp)" xfId="763"/>
    <cellStyle name="Comma (2)" xfId="764"/>
    <cellStyle name="Comma (2dp)" xfId="765"/>
    <cellStyle name="Comma ," xfId="766"/>
    <cellStyle name="Comma [0] Total" xfId="767"/>
    <cellStyle name="Comma [0] Total 2" xfId="3666"/>
    <cellStyle name="Comma [00]" xfId="768"/>
    <cellStyle name="Comma [1]" xfId="769"/>
    <cellStyle name="Comma [1] Total" xfId="770"/>
    <cellStyle name="Comma [1] Total 2" xfId="3667"/>
    <cellStyle name="Comma [1]_Feeder" xfId="771"/>
    <cellStyle name="Comma [2]" xfId="772"/>
    <cellStyle name="Comma [2] Total" xfId="773"/>
    <cellStyle name="Comma [2] Total 2" xfId="3668"/>
    <cellStyle name="Comma [2]_Funds Flow 01" xfId="774"/>
    <cellStyle name="Comma [3]" xfId="775"/>
    <cellStyle name="comma [zero]" xfId="776"/>
    <cellStyle name="Comma 0" xfId="777"/>
    <cellStyle name="Comma 0*" xfId="778"/>
    <cellStyle name="Comma 10" xfId="1709"/>
    <cellStyle name="Comma 10 2" xfId="3504"/>
    <cellStyle name="Comma 10 2 2" xfId="3505"/>
    <cellStyle name="Comma 10 2 3" xfId="3506"/>
    <cellStyle name="Comma 10 2 4" xfId="3507"/>
    <cellStyle name="Comma 10 3" xfId="3508"/>
    <cellStyle name="Comma 10 3 2" xfId="3509"/>
    <cellStyle name="Comma 10 3 3" xfId="3510"/>
    <cellStyle name="Comma 10 3 4" xfId="3511"/>
    <cellStyle name="Comma 10 4" xfId="3512"/>
    <cellStyle name="Comma 10 5" xfId="3513"/>
    <cellStyle name="Comma 10 6" xfId="3514"/>
    <cellStyle name="Comma 11" xfId="1729"/>
    <cellStyle name="Comma 11 2" xfId="3515"/>
    <cellStyle name="Comma 11 2 2" xfId="3516"/>
    <cellStyle name="Comma 11 2 3" xfId="3517"/>
    <cellStyle name="Comma 11 2 4" xfId="3518"/>
    <cellStyle name="Comma 11 3" xfId="3519"/>
    <cellStyle name="Comma 11 3 2" xfId="3520"/>
    <cellStyle name="Comma 11 3 3" xfId="3521"/>
    <cellStyle name="Comma 11 3 4" xfId="3522"/>
    <cellStyle name="Comma 11 4" xfId="3523"/>
    <cellStyle name="Comma 11 5" xfId="3524"/>
    <cellStyle name="Comma 11 6" xfId="3525"/>
    <cellStyle name="Comma 12" xfId="1732"/>
    <cellStyle name="Comma 12 2" xfId="3526"/>
    <cellStyle name="Comma 12 3" xfId="3527"/>
    <cellStyle name="Comma 13" xfId="1737"/>
    <cellStyle name="Comma 13 2" xfId="3528"/>
    <cellStyle name="Comma 14" xfId="1740"/>
    <cellStyle name="Comma 14 2" xfId="3529"/>
    <cellStyle name="Comma 15" xfId="1744"/>
    <cellStyle name="Comma 15 2" xfId="3530"/>
    <cellStyle name="Comma 16" xfId="2258"/>
    <cellStyle name="Comma 17" xfId="3531"/>
    <cellStyle name="Comma 18" xfId="3532"/>
    <cellStyle name="Comma 19" xfId="3533"/>
    <cellStyle name="Comma 2" xfId="4"/>
    <cellStyle name="Comma 2 2" xfId="3534"/>
    <cellStyle name="Comma 2 2 2" xfId="3535"/>
    <cellStyle name="Comma 2 3" xfId="3536"/>
    <cellStyle name="Comma 2 3 3" xfId="3638"/>
    <cellStyle name="Comma 2 4" xfId="3537"/>
    <cellStyle name="Comma 2 5" xfId="3538"/>
    <cellStyle name="Comma 2 6" xfId="3539"/>
    <cellStyle name="Comma 2 7" xfId="3540"/>
    <cellStyle name="Comma 2 8" xfId="3541"/>
    <cellStyle name="Comma 2*" xfId="779"/>
    <cellStyle name="Comma 2_Accretion_Dilution" xfId="780"/>
    <cellStyle name="Comma 20" xfId="3542"/>
    <cellStyle name="Comma 20 2" xfId="3543"/>
    <cellStyle name="Comma 20 3" xfId="3544"/>
    <cellStyle name="Comma 20 4" xfId="3545"/>
    <cellStyle name="Comma 21" xfId="3546"/>
    <cellStyle name="Comma 22" xfId="3547"/>
    <cellStyle name="Comma 23" xfId="3548"/>
    <cellStyle name="Comma 23 2" xfId="3549"/>
    <cellStyle name="Comma 23 2 2" xfId="3550"/>
    <cellStyle name="Comma 24" xfId="3551"/>
    <cellStyle name="Comma 25" xfId="3552"/>
    <cellStyle name="Comma 26" xfId="3553"/>
    <cellStyle name="Comma 26 2" xfId="3554"/>
    <cellStyle name="Comma 27" xfId="3555"/>
    <cellStyle name="Comma 28" xfId="3556"/>
    <cellStyle name="Comma 3" xfId="1696"/>
    <cellStyle name="Comma 3 2" xfId="3557"/>
    <cellStyle name="Comma 3 2 2" xfId="3558"/>
    <cellStyle name="Comma 3 3" xfId="3559"/>
    <cellStyle name="Comma 3 4" xfId="3560"/>
    <cellStyle name="Comma 3 5" xfId="3561"/>
    <cellStyle name="Comma 3 6" xfId="3562"/>
    <cellStyle name="Comma 3*" xfId="781"/>
    <cellStyle name="Comma 4" xfId="1701"/>
    <cellStyle name="Comma 4 2" xfId="3563"/>
    <cellStyle name="Comma 4 3" xfId="3564"/>
    <cellStyle name="Comma 5" xfId="1704"/>
    <cellStyle name="Comma 5 2" xfId="3565"/>
    <cellStyle name="Comma 5 3" xfId="3566"/>
    <cellStyle name="Comma 55" xfId="3639"/>
    <cellStyle name="Comma 6" xfId="1720"/>
    <cellStyle name="Comma 6 2" xfId="3567"/>
    <cellStyle name="Comma 6 2 2" xfId="3568"/>
    <cellStyle name="Comma 6 2 3" xfId="3569"/>
    <cellStyle name="Comma 6 2 4" xfId="3570"/>
    <cellStyle name="Comma 6 3" xfId="3571"/>
    <cellStyle name="Comma 6 3 2" xfId="3572"/>
    <cellStyle name="Comma 6 3 3" xfId="3573"/>
    <cellStyle name="Comma 6 3 4" xfId="3574"/>
    <cellStyle name="Comma 6 4" xfId="3575"/>
    <cellStyle name="Comma 6 5" xfId="3576"/>
    <cellStyle name="Comma 6 6" xfId="3577"/>
    <cellStyle name="Comma 7" xfId="1724"/>
    <cellStyle name="Comma 8" xfId="1711"/>
    <cellStyle name="Comma 8 2" xfId="3578"/>
    <cellStyle name="Comma 8 2 2" xfId="3579"/>
    <cellStyle name="Comma 8 2 3" xfId="3580"/>
    <cellStyle name="Comma 8 2 4" xfId="3581"/>
    <cellStyle name="Comma 8 3" xfId="3582"/>
    <cellStyle name="Comma 8 3 2" xfId="3583"/>
    <cellStyle name="Comma 8 3 3" xfId="3584"/>
    <cellStyle name="Comma 8 3 4" xfId="3585"/>
    <cellStyle name="Comma 8 4" xfId="3586"/>
    <cellStyle name="Comma 8 5" xfId="3587"/>
    <cellStyle name="Comma 8 6" xfId="3588"/>
    <cellStyle name="Comma 9" xfId="1714"/>
    <cellStyle name="Comma 9 2" xfId="3589"/>
    <cellStyle name="Comma 9 2 2" xfId="3590"/>
    <cellStyle name="Comma 9 2 3" xfId="3591"/>
    <cellStyle name="Comma 9 2 4" xfId="3592"/>
    <cellStyle name="Comma 9 3" xfId="3593"/>
    <cellStyle name="Comma 9 3 2" xfId="3594"/>
    <cellStyle name="Comma 9 3 3" xfId="3595"/>
    <cellStyle name="Comma 9 3 4" xfId="3596"/>
    <cellStyle name="Comma 9 4" xfId="3597"/>
    <cellStyle name="Comma 9 5" xfId="3598"/>
    <cellStyle name="Comma 9 6" xfId="3599"/>
    <cellStyle name="Comma Cents" xfId="782"/>
    <cellStyle name="Comma*" xfId="783"/>
    <cellStyle name="Comma, 1 dec" xfId="784"/>
    <cellStyle name="Comma, 1dec" xfId="3600"/>
    <cellStyle name="Comma[0]" xfId="3601"/>
    <cellStyle name="Comma0" xfId="785"/>
    <cellStyle name="Comma1" xfId="786"/>
    <cellStyle name="Comma1 - Style1" xfId="787"/>
    <cellStyle name="Comma2" xfId="788"/>
    <cellStyle name="Comment" xfId="789"/>
    <cellStyle name="Company" xfId="790"/>
    <cellStyle name="Company Name" xfId="791"/>
    <cellStyle name="Company_CSC July 24" xfId="3602"/>
    <cellStyle name="CompanyName" xfId="792"/>
    <cellStyle name="Copy Decimal 0" xfId="3603"/>
    <cellStyle name="Copy Decimal 0,00" xfId="3604"/>
    <cellStyle name="Copy Percent 0" xfId="3605"/>
    <cellStyle name="Copy Percent 0,00" xfId="3606"/>
    <cellStyle name="Cost" xfId="3607"/>
    <cellStyle name="CountryTitle" xfId="793"/>
    <cellStyle name="Cover" xfId="2259"/>
    <cellStyle name="Cover Date" xfId="794"/>
    <cellStyle name="Cover Subtitle" xfId="795"/>
    <cellStyle name="Cover Title" xfId="796"/>
    <cellStyle name="cu" xfId="797"/>
    <cellStyle name="CurRatio" xfId="798"/>
    <cellStyle name="Currency--" xfId="799"/>
    <cellStyle name="Currency [0] Total" xfId="800"/>
    <cellStyle name="Currency [0] Total 2" xfId="3669"/>
    <cellStyle name="Currency [00]" xfId="801"/>
    <cellStyle name="Currency [1]" xfId="802"/>
    <cellStyle name="Currency [1] Total" xfId="803"/>
    <cellStyle name="Currency [1] Total 2" xfId="3670"/>
    <cellStyle name="Currency [1]_Feeder" xfId="804"/>
    <cellStyle name="Currency [2]" xfId="805"/>
    <cellStyle name="Currency [2] Total" xfId="806"/>
    <cellStyle name="Currency [2] Total 2" xfId="3671"/>
    <cellStyle name="Currency [2]_Feeder" xfId="807"/>
    <cellStyle name="Currency [3]" xfId="808"/>
    <cellStyle name="Currency [B]" xfId="809"/>
    <cellStyle name="Currency 0" xfId="810"/>
    <cellStyle name="Currency 2" xfId="811"/>
    <cellStyle name="Currency 2 Total" xfId="812"/>
    <cellStyle name="Currency 2 Total 2" xfId="3672"/>
    <cellStyle name="Currency 2*" xfId="813"/>
    <cellStyle name="Currency 2_Accretion_Dilution" xfId="814"/>
    <cellStyle name="Currency 3*" xfId="815"/>
    <cellStyle name="Currency dollars[0]" xfId="3608"/>
    <cellStyle name="Currency Euros" xfId="816"/>
    <cellStyle name="Currency$" xfId="817"/>
    <cellStyle name="Currency*" xfId="818"/>
    <cellStyle name="Currency0" xfId="819"/>
    <cellStyle name="Currency1" xfId="2260"/>
    <cellStyle name="Currency2" xfId="820"/>
    <cellStyle name="Currencyunder" xfId="3609"/>
    <cellStyle name="Currsmall" xfId="2261"/>
    <cellStyle name="d" xfId="821"/>
    <cellStyle name="Dash" xfId="822"/>
    <cellStyle name="Data" xfId="823"/>
    <cellStyle name="Data Link" xfId="2262"/>
    <cellStyle name="DataBold" xfId="824"/>
    <cellStyle name="Date" xfId="825"/>
    <cellStyle name="Date - d-mmm" xfId="3610"/>
    <cellStyle name="Date - d-mmm-yy" xfId="3611"/>
    <cellStyle name="Date - mmm-yy" xfId="3612"/>
    <cellStyle name="date - Style5" xfId="3613"/>
    <cellStyle name="Date [Abbreviated]" xfId="826"/>
    <cellStyle name="date [dd mmm]" xfId="827"/>
    <cellStyle name="Date [d-mmm-yy]" xfId="828"/>
    <cellStyle name="Date [D-M-Y]" xfId="829"/>
    <cellStyle name="Date [Long Europe]" xfId="830"/>
    <cellStyle name="Date [Long U.S.]" xfId="831"/>
    <cellStyle name="Date [M/D/Y]" xfId="832"/>
    <cellStyle name="Date [M/Y]" xfId="833"/>
    <cellStyle name="Date [mm-d-yy]" xfId="834"/>
    <cellStyle name="Date [mm-d-yyyy]" xfId="835"/>
    <cellStyle name="date [mmm yy]" xfId="836"/>
    <cellStyle name="date [mmm yyyy]" xfId="837"/>
    <cellStyle name="Date [mmm-d-yyyy]" xfId="838"/>
    <cellStyle name="Date [mmm-yy]" xfId="839"/>
    <cellStyle name="Date [mmm-yyyy]" xfId="840"/>
    <cellStyle name="Date [M-Y]" xfId="841"/>
    <cellStyle name="Date [Short Europe]" xfId="842"/>
    <cellStyle name="Date [Short U.S.]" xfId="843"/>
    <cellStyle name="Date 2" xfId="3673"/>
    <cellStyle name="Date Aligned" xfId="844"/>
    <cellStyle name="Date Aligned*" xfId="845"/>
    <cellStyle name="Date dd-mmm" xfId="2263"/>
    <cellStyle name="Date dd-mmm-yy" xfId="2264"/>
    <cellStyle name="Date mmm-yy" xfId="2265"/>
    <cellStyle name="Date Short" xfId="846"/>
    <cellStyle name="Date, Long" xfId="2266"/>
    <cellStyle name="Date, Short" xfId="2267"/>
    <cellStyle name="Date_~7573237" xfId="847"/>
    <cellStyle name="Date1" xfId="2268"/>
    <cellStyle name="Date2" xfId="848"/>
    <cellStyle name="DateLong" xfId="849"/>
    <cellStyle name="Dates" xfId="850"/>
    <cellStyle name="DateYear" xfId="851"/>
    <cellStyle name="Datum" xfId="2269"/>
    <cellStyle name="David" xfId="3614"/>
    <cellStyle name="day month" xfId="852"/>
    <cellStyle name="days" xfId="853"/>
    <cellStyle name="DblLineDollarAcct" xfId="2270"/>
    <cellStyle name="DblLinePercent" xfId="2271"/>
    <cellStyle name="Decimal" xfId="2272"/>
    <cellStyle name="Decimal (negative)" xfId="2273"/>
    <cellStyle name="decimal [3]" xfId="854"/>
    <cellStyle name="decimal [4]" xfId="855"/>
    <cellStyle name="Decimal 0,0" xfId="3615"/>
    <cellStyle name="Decimal 0,00" xfId="3616"/>
    <cellStyle name="Decimal 0,0000" xfId="3617"/>
    <cellStyle name="default" xfId="3618"/>
    <cellStyle name="Deviant" xfId="2274"/>
    <cellStyle name="Dezimal [+line]" xfId="3619"/>
    <cellStyle name="Dezimal [0]_ !gesamt planIst 94" xfId="3620"/>
    <cellStyle name="Dezimal +" xfId="3621"/>
    <cellStyle name="Dezimal + 0" xfId="3622"/>
    <cellStyle name="Dezimal__Utopia Index Index und Guidance (Deutsch)" xfId="856"/>
    <cellStyle name="Dia" xfId="857"/>
    <cellStyle name="d-mmm-yy" xfId="858"/>
    <cellStyle name="Dollar" xfId="859"/>
    <cellStyle name="Dollar1" xfId="2275"/>
    <cellStyle name="Dollar1Blue" xfId="2276"/>
    <cellStyle name="Dollar2" xfId="2277"/>
    <cellStyle name="DollarAccounting" xfId="2278"/>
    <cellStyle name="dollars" xfId="860"/>
    <cellStyle name="Dollars No Decimal" xfId="861"/>
    <cellStyle name="Dollars One Decimal" xfId="862"/>
    <cellStyle name="Dollars_MD 1 model_blank_Augustin" xfId="863"/>
    <cellStyle name="DollarWhole" xfId="864"/>
    <cellStyle name="Dotted Line" xfId="865"/>
    <cellStyle name="Double Accounting" xfId="866"/>
    <cellStyle name="Double Underline" xfId="867"/>
    <cellStyle name="Download" xfId="868"/>
    <cellStyle name="Driver" xfId="869"/>
    <cellStyle name="Driver Lable" xfId="870"/>
    <cellStyle name="Driver_Feeder" xfId="871"/>
    <cellStyle name="Encabez1" xfId="872"/>
    <cellStyle name="Encabez2" xfId="873"/>
    <cellStyle name="End Table" xfId="874"/>
    <cellStyle name="Enter Currency (0)" xfId="875"/>
    <cellStyle name="Enter Currency (2)" xfId="876"/>
    <cellStyle name="Enter Units (0)" xfId="877"/>
    <cellStyle name="Enter Units (1)" xfId="878"/>
    <cellStyle name="Enter Units (2)" xfId="879"/>
    <cellStyle name="EPS" xfId="880"/>
    <cellStyle name="EPSActual" xfId="881"/>
    <cellStyle name="EPSEstimate" xfId="882"/>
    <cellStyle name="Estimate" xfId="883"/>
    <cellStyle name="Euro" xfId="884"/>
    <cellStyle name="Euro Millions" xfId="885"/>
    <cellStyle name="Euro_Bertelsmann_with Ratings Adj vs.2" xfId="886"/>
    <cellStyle name="Euros No Decimal" xfId="887"/>
    <cellStyle name="Euros One Decimal" xfId="888"/>
    <cellStyle name="EY House" xfId="889"/>
    <cellStyle name="EY Narrative text" xfId="2279"/>
    <cellStyle name="EY%colcalc" xfId="890"/>
    <cellStyle name="EY%input" xfId="891"/>
    <cellStyle name="EY%rowcalc" xfId="892"/>
    <cellStyle name="EY0dp" xfId="893"/>
    <cellStyle name="EY1dp" xfId="894"/>
    <cellStyle name="EY2dp" xfId="895"/>
    <cellStyle name="EY3dp" xfId="896"/>
    <cellStyle name="EYChartTitle" xfId="2280"/>
    <cellStyle name="EYColumnHeading" xfId="897"/>
    <cellStyle name="EYColumnHeadingItalic" xfId="2281"/>
    <cellStyle name="EYCoverDatabookName" xfId="2282"/>
    <cellStyle name="EYCoverDate" xfId="2283"/>
    <cellStyle name="EYCoverDraft" xfId="2284"/>
    <cellStyle name="EYCoverProjectName" xfId="2285"/>
    <cellStyle name="EYCurrency" xfId="2286"/>
    <cellStyle name="EYHeading1" xfId="898"/>
    <cellStyle name="EYheading2" xfId="899"/>
    <cellStyle name="EYheading3" xfId="900"/>
    <cellStyle name="EYNotes" xfId="2287"/>
    <cellStyle name="EYNotesHeading" xfId="2288"/>
    <cellStyle name="EYnumber" xfId="901"/>
    <cellStyle name="EYSectionHeading" xfId="2289"/>
    <cellStyle name="EYSheetHeader1" xfId="902"/>
    <cellStyle name="EYSheetHeading" xfId="2290"/>
    <cellStyle name="EYsmallheading" xfId="2291"/>
    <cellStyle name="EYSource" xfId="2292"/>
    <cellStyle name="EYtext" xfId="903"/>
    <cellStyle name="EYtextbold" xfId="2293"/>
    <cellStyle name="EYtextbolditalic" xfId="2294"/>
    <cellStyle name="EYtextitalic" xfId="2295"/>
    <cellStyle name="fact" xfId="904"/>
    <cellStyle name="Factor" xfId="1746"/>
    <cellStyle name="Fest" xfId="2296"/>
    <cellStyle name="Fijo" xfId="905"/>
    <cellStyle name="Financiero" xfId="906"/>
    <cellStyle name="Fixed" xfId="907"/>
    <cellStyle name="Fixed [0]" xfId="908"/>
    <cellStyle name="Fixed_Bertelsmann_with Ratings Adj vs.2" xfId="909"/>
    <cellStyle name="Fixlong" xfId="2297"/>
    <cellStyle name="Footer SBILogo1" xfId="910"/>
    <cellStyle name="Footer SBILogo2" xfId="911"/>
    <cellStyle name="Footnote" xfId="912"/>
    <cellStyle name="Footnote Reference" xfId="913"/>
    <cellStyle name="Footnote_comments" xfId="914"/>
    <cellStyle name="Formula" xfId="2298"/>
    <cellStyle name="Formule" xfId="2299"/>
    <cellStyle name="Fraction" xfId="915"/>
    <cellStyle name="Fraction [8]" xfId="916"/>
    <cellStyle name="Fraction [Bl]" xfId="917"/>
    <cellStyle name="Fraction_Feeder" xfId="918"/>
    <cellStyle name="General" xfId="919"/>
    <cellStyle name="General [C]" xfId="920"/>
    <cellStyle name="General [R]" xfId="921"/>
    <cellStyle name="General heading" xfId="3640"/>
    <cellStyle name="Global" xfId="922"/>
    <cellStyle name="Grey" xfId="923"/>
    <cellStyle name="GrowthRate" xfId="924"/>
    <cellStyle name="GrowthSeq" xfId="925"/>
    <cellStyle name="GWN Table Body" xfId="2300"/>
    <cellStyle name="GWN Table Header" xfId="2301"/>
    <cellStyle name="GWN Table Left Header" xfId="2302"/>
    <cellStyle name="GWN Table Note" xfId="2303"/>
    <cellStyle name="GWN Table Title" xfId="2304"/>
    <cellStyle name="H 2" xfId="2305"/>
    <cellStyle name="H Acct 1" xfId="926"/>
    <cellStyle name="H Acct 1,$" xfId="927"/>
    <cellStyle name="haeding 2" xfId="928"/>
    <cellStyle name="hard" xfId="929"/>
    <cellStyle name="Hard code" xfId="930"/>
    <cellStyle name="Hard code %" xfId="931"/>
    <cellStyle name="Hard code_5y FVebitda" xfId="932"/>
    <cellStyle name="Hard nb" xfId="933"/>
    <cellStyle name="hard no" xfId="934"/>
    <cellStyle name="hard no." xfId="935"/>
    <cellStyle name="Hard Percent" xfId="936"/>
    <cellStyle name="hard_5y FVebitda" xfId="937"/>
    <cellStyle name="Hardcode 2" xfId="3809"/>
    <cellStyle name="Hardcoded" xfId="938"/>
    <cellStyle name="hardno" xfId="2306"/>
    <cellStyle name="head1" xfId="939"/>
    <cellStyle name="head2" xfId="940"/>
    <cellStyle name="Header" xfId="941"/>
    <cellStyle name="header 2" xfId="1697"/>
    <cellStyle name="Header Draft Stamp" xfId="942"/>
    <cellStyle name="Header_LBO" xfId="943"/>
    <cellStyle name="Header1" xfId="944"/>
    <cellStyle name="Header2" xfId="945"/>
    <cellStyle name="Heading" xfId="946"/>
    <cellStyle name="Heading 1" xfId="3628" builtinId="16"/>
    <cellStyle name="Heading 1 Above" xfId="947"/>
    <cellStyle name="Heading 1+" xfId="948"/>
    <cellStyle name="Heading 2 2" xfId="3641"/>
    <cellStyle name="Heading 2 Below" xfId="949"/>
    <cellStyle name="Heading 2+" xfId="950"/>
    <cellStyle name="Heading 3+" xfId="951"/>
    <cellStyle name="Heading 5" xfId="952"/>
    <cellStyle name="Heading1" xfId="953"/>
    <cellStyle name="Heading2" xfId="954"/>
    <cellStyle name="Heading3" xfId="955"/>
    <cellStyle name="Hidden" xfId="956"/>
    <cellStyle name="hide" xfId="957"/>
    <cellStyle name="Highlight" xfId="958"/>
    <cellStyle name="Hist_perc" xfId="959"/>
    <cellStyle name="Historic" xfId="960"/>
    <cellStyle name="Historical" xfId="3642"/>
    <cellStyle name="historical #" xfId="961"/>
    <cellStyle name="historical %" xfId="962"/>
    <cellStyle name="ht" xfId="963"/>
    <cellStyle name="Hyperlink" xfId="1" builtinId="8" customBuiltin="1"/>
    <cellStyle name="IBESInput" xfId="964"/>
    <cellStyle name="Important" xfId="2307"/>
    <cellStyle name="Imput" xfId="965"/>
    <cellStyle name="IncomeStatement" xfId="966"/>
    <cellStyle name="Indent1" xfId="2308"/>
    <cellStyle name="Indented [0]" xfId="967"/>
    <cellStyle name="Indented [2]" xfId="968"/>
    <cellStyle name="Indented [4]" xfId="969"/>
    <cellStyle name="Indented [6]" xfId="970"/>
    <cellStyle name="inpt" xfId="971"/>
    <cellStyle name="Input %" xfId="972"/>
    <cellStyle name="Input % (1dp)" xfId="973"/>
    <cellStyle name="Input [yellow]" xfId="974"/>
    <cellStyle name="Input 0" xfId="975"/>
    <cellStyle name="Input 0,0" xfId="976"/>
    <cellStyle name="Input 10" xfId="1710"/>
    <cellStyle name="Input 10 2" xfId="3704"/>
    <cellStyle name="Input 11" xfId="1730"/>
    <cellStyle name="Input 11 2" xfId="3709"/>
    <cellStyle name="Input 12" xfId="1731"/>
    <cellStyle name="Input 12 2" xfId="3710"/>
    <cellStyle name="Input 13" xfId="1738"/>
    <cellStyle name="Input 13 2" xfId="3711"/>
    <cellStyle name="Input 14" xfId="1739"/>
    <cellStyle name="Input 14 2" xfId="3712"/>
    <cellStyle name="Input 2" xfId="1687"/>
    <cellStyle name="Input 2 2" xfId="3699"/>
    <cellStyle name="Input 3" xfId="1698"/>
    <cellStyle name="Input 3 2" xfId="3701"/>
    <cellStyle name="Input 4" xfId="1702"/>
    <cellStyle name="Input 4 2" xfId="3702"/>
    <cellStyle name="Input 5" xfId="1703"/>
    <cellStyle name="Input 5 2" xfId="3703"/>
    <cellStyle name="Input 6" xfId="1719"/>
    <cellStyle name="Input 6 2" xfId="3707"/>
    <cellStyle name="Input 7" xfId="1725"/>
    <cellStyle name="Input 7 2" xfId="3708"/>
    <cellStyle name="Input 8" xfId="1712"/>
    <cellStyle name="Input 8 2" xfId="3705"/>
    <cellStyle name="Input 9" xfId="1713"/>
    <cellStyle name="Input 9 2" xfId="3706"/>
    <cellStyle name="Input Cells" xfId="1747"/>
    <cellStyle name="Input comma" xfId="977"/>
    <cellStyle name="Input Currency" xfId="978"/>
    <cellStyle name="Input Date" xfId="979"/>
    <cellStyle name="Input Fixed [0]" xfId="980"/>
    <cellStyle name="Input Link" xfId="981"/>
    <cellStyle name="Input multiple" xfId="982"/>
    <cellStyle name="Input Normal" xfId="983"/>
    <cellStyle name="Input Number" xfId="3643"/>
    <cellStyle name="Input number (0dp)" xfId="984"/>
    <cellStyle name="Input number (1dp)" xfId="985"/>
    <cellStyle name="Input Number Normal" xfId="986"/>
    <cellStyle name="Input Percent" xfId="987"/>
    <cellStyle name="Input Percent [2]" xfId="988"/>
    <cellStyle name="Input Percent_Bertelsmann_with Ratings Adj vs.2" xfId="989"/>
    <cellStyle name="Input Titles" xfId="990"/>
    <cellStyle name="Input$" xfId="991"/>
    <cellStyle name="Input%" xfId="992"/>
    <cellStyle name="Input0dec" xfId="993"/>
    <cellStyle name="Input2dec" xfId="994"/>
    <cellStyle name="InputBlueFont" xfId="995"/>
    <cellStyle name="InputBlueFontLocked" xfId="996"/>
    <cellStyle name="InputCurrency" xfId="997"/>
    <cellStyle name="InputCurrency2" xfId="998"/>
    <cellStyle name="InputDate" xfId="999"/>
    <cellStyle name="InputDate 2" xfId="3674"/>
    <cellStyle name="InputHead" xfId="1000"/>
    <cellStyle name="InputMultiple1" xfId="1001"/>
    <cellStyle name="InputPercent" xfId="1002"/>
    <cellStyle name="InputPercent1" xfId="1003"/>
    <cellStyle name="InputPop" xfId="1004"/>
    <cellStyle name="Integer" xfId="1005"/>
    <cellStyle name="Item" xfId="1006"/>
    <cellStyle name="ItemTypeClass" xfId="1007"/>
    <cellStyle name="Komma [0]_laroux" xfId="1008"/>
    <cellStyle name="Komma_laroux" xfId="1009"/>
    <cellStyle name="KPMG Heading 1" xfId="1010"/>
    <cellStyle name="KPMG Heading 2" xfId="1011"/>
    <cellStyle name="KPMG Heading 3" xfId="1012"/>
    <cellStyle name="KPMG Heading 4" xfId="1013"/>
    <cellStyle name="KPMG Normal" xfId="1014"/>
    <cellStyle name="KPMG Normal Text" xfId="1015"/>
    <cellStyle name="ligne_detail" xfId="1016"/>
    <cellStyle name="Line" xfId="1017"/>
    <cellStyle name="Link" xfId="1018"/>
    <cellStyle name="Link Currency (0)" xfId="1019"/>
    <cellStyle name="Link Currency (2)" xfId="1020"/>
    <cellStyle name="Link Units (0)" xfId="1021"/>
    <cellStyle name="Link Units (1)" xfId="1022"/>
    <cellStyle name="Link Units (2)" xfId="1023"/>
    <cellStyle name="Locked" xfId="1024"/>
    <cellStyle name="lpt" xfId="1025"/>
    <cellStyle name="lspt" xfId="1026"/>
    <cellStyle name="m" xfId="1027"/>
    <cellStyle name="m/d/yy" xfId="1028"/>
    <cellStyle name="m1" xfId="1029"/>
    <cellStyle name="Main item" xfId="1030"/>
    <cellStyle name="Main Title" xfId="1031"/>
    <cellStyle name="Margins" xfId="1032"/>
    <cellStyle name="Migliaia (0)" xfId="1033"/>
    <cellStyle name="Migliaia_AdR prelim valuation 010130 base case Ver5 Final" xfId="1034"/>
    <cellStyle name="Millares [0]_Asset Mgmt " xfId="1689"/>
    <cellStyle name="Millares_Asset Mgmt " xfId="1690"/>
    <cellStyle name="Milliers [0]_AR1194" xfId="1035"/>
    <cellStyle name="Milliers_AR1194" xfId="1036"/>
    <cellStyle name="million" xfId="1037"/>
    <cellStyle name="million [1]" xfId="1038"/>
    <cellStyle name="million_DCF" xfId="1039"/>
    <cellStyle name="millions" xfId="1040"/>
    <cellStyle name="MLComma0" xfId="1041"/>
    <cellStyle name="MLDollar0" xfId="1042"/>
    <cellStyle name="MLEuro0" xfId="1043"/>
    <cellStyle name="MLMultiple0" xfId="1044"/>
    <cellStyle name="MLPercent0" xfId="1045"/>
    <cellStyle name="MLPound0" xfId="1046"/>
    <cellStyle name="MLYen0" xfId="1047"/>
    <cellStyle name="mod1" xfId="1048"/>
    <cellStyle name="model" xfId="1049"/>
    <cellStyle name="modelo1" xfId="1050"/>
    <cellStyle name="Moneda [0]_Asset Mgmt " xfId="1691"/>
    <cellStyle name="Moneda_Asset Mgmt " xfId="1692"/>
    <cellStyle name="Monétaire [0]_AR1194" xfId="1051"/>
    <cellStyle name="Monétaire_AR1194" xfId="1052"/>
    <cellStyle name="Monetario" xfId="1053"/>
    <cellStyle name="Money" xfId="1054"/>
    <cellStyle name="month" xfId="1055"/>
    <cellStyle name="MonthYears" xfId="1056"/>
    <cellStyle name="Morgan" xfId="1057"/>
    <cellStyle name="Multiple" xfId="1058"/>
    <cellStyle name="Multiple [0]" xfId="1059"/>
    <cellStyle name="Multiple [1]" xfId="1060"/>
    <cellStyle name="Multiple_detailed bank case 21 3 05" xfId="1061"/>
    <cellStyle name="Multiple1" xfId="1062"/>
    <cellStyle name="MultipleBelow" xfId="1063"/>
    <cellStyle name="MultipleDouble" xfId="1064"/>
    <cellStyle name="MultipleInput" xfId="1065"/>
    <cellStyle name="MultipleInput 2" xfId="3675"/>
    <cellStyle name="Multiples1" xfId="1066"/>
    <cellStyle name="n" xfId="1693"/>
    <cellStyle name="n0" xfId="1067"/>
    <cellStyle name="n1" xfId="1068"/>
    <cellStyle name="n2" xfId="1069"/>
    <cellStyle name="NA is zero" xfId="1070"/>
    <cellStyle name="Name" xfId="1071"/>
    <cellStyle name="NivelFila_2_Consejo2001" xfId="1072"/>
    <cellStyle name="No Border" xfId="1073"/>
    <cellStyle name="no dec" xfId="1074"/>
    <cellStyle name="No Decimal" xfId="1075"/>
    <cellStyle name="No.s to 1dp" xfId="1076"/>
    <cellStyle name="NORAYAS" xfId="1077"/>
    <cellStyle name="Norm" xfId="1078"/>
    <cellStyle name="norma;l" xfId="1079"/>
    <cellStyle name="norma;l 2" xfId="3676"/>
    <cellStyle name="Normal" xfId="0" builtinId="0"/>
    <cellStyle name="Normal--" xfId="1080"/>
    <cellStyle name="Normal - Style1" xfId="1081"/>
    <cellStyle name="Normal (no,)" xfId="1082"/>
    <cellStyle name="Normal [0]" xfId="1083"/>
    <cellStyle name="Normal [1]" xfId="1084"/>
    <cellStyle name="Normal [2]" xfId="1085"/>
    <cellStyle name="Normal [3]" xfId="1086"/>
    <cellStyle name="normal [zero]" xfId="1087"/>
    <cellStyle name="Normal 10" xfId="1716"/>
    <cellStyle name="Normal 11" xfId="1717"/>
    <cellStyle name="Normal 12" xfId="1728"/>
    <cellStyle name="Normal 13" xfId="1734"/>
    <cellStyle name="Normal 14" xfId="1736"/>
    <cellStyle name="Normal 15" xfId="1742"/>
    <cellStyle name="Normal 16" xfId="2310"/>
    <cellStyle name="Normal 16 2" xfId="3715"/>
    <cellStyle name="Normal 2" xfId="3"/>
    <cellStyle name="Normal 2 2" xfId="1686"/>
    <cellStyle name="Normal 2 3" xfId="1699"/>
    <cellStyle name="Normal 3" xfId="7"/>
    <cellStyle name="Normal 4" xfId="1694"/>
    <cellStyle name="Normal 5" xfId="1695"/>
    <cellStyle name="Normal 5 3" xfId="3623"/>
    <cellStyle name="Normal 6" xfId="1705"/>
    <cellStyle name="Normal 7" xfId="1721"/>
    <cellStyle name="Normal 8" xfId="1723"/>
    <cellStyle name="Normal 9" xfId="1708"/>
    <cellStyle name="Normal Bold" xfId="1088"/>
    <cellStyle name="Normal Italics" xfId="1089"/>
    <cellStyle name="Normal Pct" xfId="1090"/>
    <cellStyle name="Normal%Input" xfId="1091"/>
    <cellStyle name="normal;" xfId="1092"/>
    <cellStyle name="normal; 2" xfId="3677"/>
    <cellStyle name="Normal_Copy of Rank Model - 230108 VB" xfId="2311"/>
    <cellStyle name="Normal_Southern Cross LBO v9" xfId="2"/>
    <cellStyle name="Normal2" xfId="1093"/>
    <cellStyle name="NormalBold" xfId="1094"/>
    <cellStyle name="NormalE" xfId="1095"/>
    <cellStyle name="NormalGB" xfId="1096"/>
    <cellStyle name="NormalMultiple" xfId="1097"/>
    <cellStyle name="NormalNumber" xfId="1098"/>
    <cellStyle name="Normalny_LTP2001 MIS (1) " xfId="1099"/>
    <cellStyle name="NormalPerso" xfId="1100"/>
    <cellStyle name="Normalx" xfId="1101"/>
    <cellStyle name="NormalxShadow" xfId="1102"/>
    <cellStyle name="Notes" xfId="1103"/>
    <cellStyle name="NPPESalesPct" xfId="1104"/>
    <cellStyle name="Number" xfId="1105"/>
    <cellStyle name="Number [0]" xfId="1106"/>
    <cellStyle name="Number 2" xfId="3678"/>
    <cellStyle name="Number_M&amp;A Model" xfId="1107"/>
    <cellStyle name="NWI%S" xfId="1108"/>
    <cellStyle name="Œ…‹æØ‚è [0.00]_GE 3 MINIMUM" xfId="1109"/>
    <cellStyle name="Œ…‹æØ‚è_GE 3 MINIMUM" xfId="1110"/>
    <cellStyle name="One Decimal" xfId="1111"/>
    <cellStyle name="onedec" xfId="1112"/>
    <cellStyle name="Option" xfId="1113"/>
    <cellStyle name="outh America" xfId="1114"/>
    <cellStyle name="Output (0dp#)" xfId="1115"/>
    <cellStyle name="Output (0dp%)" xfId="1116"/>
    <cellStyle name="Output (1dp#)" xfId="1117"/>
    <cellStyle name="Output (1dp%)" xfId="1118"/>
    <cellStyle name="Output (1dpx)" xfId="1119"/>
    <cellStyle name="Output (2dp#)" xfId="1120"/>
    <cellStyle name="Output Labels" xfId="1121"/>
    <cellStyle name="OutputPct" xfId="1122"/>
    <cellStyle name="Outputs (Locked)" xfId="1123"/>
    <cellStyle name="OVER" xfId="1124"/>
    <cellStyle name="p" xfId="1125"/>
    <cellStyle name="P&amp;L Numbers" xfId="1126"/>
    <cellStyle name="p_DCF" xfId="1127"/>
    <cellStyle name="p_DCF_M&amp;A Model" xfId="1128"/>
    <cellStyle name="p_DCF_SHIT" xfId="1129"/>
    <cellStyle name="p_DCF_SHIT_M&amp;A Model" xfId="1130"/>
    <cellStyle name="p_DCF_VERA_2" xfId="1131"/>
    <cellStyle name="p_DCF_VERA_2_M&amp;A Model" xfId="1132"/>
    <cellStyle name="p_M&amp;A Model" xfId="1133"/>
    <cellStyle name="p_M&amp;A Model 2" xfId="3679"/>
    <cellStyle name="p_M&amp;A projections" xfId="1134"/>
    <cellStyle name="p_M&amp;A projections 2" xfId="3680"/>
    <cellStyle name="p_SHIT" xfId="1135"/>
    <cellStyle name="p_SHIT_M&amp;A Model" xfId="1136"/>
    <cellStyle name="p_VERA" xfId="1137"/>
    <cellStyle name="p_VERA_1" xfId="1138"/>
    <cellStyle name="p_VERA_1_M&amp;A Model" xfId="1139"/>
    <cellStyle name="p_VERA_2" xfId="1140"/>
    <cellStyle name="p_VERA_2_M&amp;A Model" xfId="1141"/>
    <cellStyle name="p_xMidcap4_24" xfId="1142"/>
    <cellStyle name="p_xMidcap4_24_M&amp;A Model" xfId="1143"/>
    <cellStyle name="p1" xfId="1144"/>
    <cellStyle name="Page break" xfId="1145"/>
    <cellStyle name="Page Heading" xfId="1146"/>
    <cellStyle name="Page Heading Large" xfId="1147"/>
    <cellStyle name="Page Heading Small" xfId="1148"/>
    <cellStyle name="Page Number" xfId="1149"/>
    <cellStyle name="Pattern" xfId="1150"/>
    <cellStyle name="patterns" xfId="1151"/>
    <cellStyle name="pc1" xfId="1152"/>
    <cellStyle name="pcent" xfId="1153"/>
    <cellStyle name="Pct 1" xfId="1154"/>
    <cellStyle name="pct_sub" xfId="1155"/>
    <cellStyle name="Pctdec1itals" xfId="1156"/>
    <cellStyle name="pd" xfId="1157"/>
    <cellStyle name="pe" xfId="1158"/>
    <cellStyle name="Pence" xfId="1159"/>
    <cellStyle name="pence [0]" xfId="1160"/>
    <cellStyle name="pence [1]" xfId="1161"/>
    <cellStyle name="pence_DCF" xfId="1162"/>
    <cellStyle name="per" xfId="1163"/>
    <cellStyle name="per.style" xfId="1748"/>
    <cellStyle name="percemt" xfId="1164"/>
    <cellStyle name="percemt 2" xfId="3681"/>
    <cellStyle name="Percent" xfId="2309" builtinId="5"/>
    <cellStyle name="Percent (0.0)" xfId="1165"/>
    <cellStyle name="Percent (0.00)" xfId="1166"/>
    <cellStyle name="Percent (1)" xfId="1167"/>
    <cellStyle name="Percent [0]" xfId="1168"/>
    <cellStyle name="Percent [0] Total" xfId="1169"/>
    <cellStyle name="Percent [0] Total 2" xfId="3682"/>
    <cellStyle name="Percent [0]_comparison" xfId="1170"/>
    <cellStyle name="Percent [00]" xfId="1171"/>
    <cellStyle name="Percent [00] 2" xfId="3683"/>
    <cellStyle name="Percent [1]" xfId="1172"/>
    <cellStyle name="percent [1-]" xfId="1173"/>
    <cellStyle name="Percent [1] --" xfId="1174"/>
    <cellStyle name="Percent [1] Total" xfId="1175"/>
    <cellStyle name="Percent [1] Total 2" xfId="3684"/>
    <cellStyle name="Percent [1]_Base acqfin hybrid model_S3" xfId="1176"/>
    <cellStyle name="percent [100]" xfId="1177"/>
    <cellStyle name="Percent [2]" xfId="1178"/>
    <cellStyle name="Percent [2] Total" xfId="1179"/>
    <cellStyle name="Percent [2] Total 2" xfId="3685"/>
    <cellStyle name="Percent [2]_57 Project Fly (2)" xfId="1180"/>
    <cellStyle name="Percent [3]" xfId="1181"/>
    <cellStyle name="Percent [3]--" xfId="1182"/>
    <cellStyle name="Percent [4]" xfId="1183"/>
    <cellStyle name="Percent 0" xfId="1184"/>
    <cellStyle name="Percent 0.00" xfId="1185"/>
    <cellStyle name="Percent 10" xfId="1727"/>
    <cellStyle name="Percent 11" xfId="1733"/>
    <cellStyle name="Percent 12" xfId="1735"/>
    <cellStyle name="Percent 13" xfId="1741"/>
    <cellStyle name="Percent 14" xfId="1743"/>
    <cellStyle name="Percent 2" xfId="5"/>
    <cellStyle name="Percent 3" xfId="1700"/>
    <cellStyle name="Percent 4" xfId="1706"/>
    <cellStyle name="Percent 5" xfId="1707"/>
    <cellStyle name="Percent 6" xfId="1722"/>
    <cellStyle name="Percent 7" xfId="1726"/>
    <cellStyle name="Percent 8" xfId="1715"/>
    <cellStyle name="Percent 9" xfId="1718"/>
    <cellStyle name="Percent Comma" xfId="1186"/>
    <cellStyle name="percent har" xfId="1187"/>
    <cellStyle name="Percent Hard" xfId="1188"/>
    <cellStyle name="Percent Input" xfId="1189"/>
    <cellStyle name="Percent SuppCalc (0.0)" xfId="1190"/>
    <cellStyle name="Percent SuppCalc Input (0.0)" xfId="1191"/>
    <cellStyle name="Percent*" xfId="1192"/>
    <cellStyle name="Percent1" xfId="1193"/>
    <cellStyle name="Percent1Blue" xfId="1194"/>
    <cellStyle name="Percent2" xfId="1195"/>
    <cellStyle name="Percent2Blue" xfId="1196"/>
    <cellStyle name="Percentage" xfId="1197"/>
    <cellStyle name="PercentChange" xfId="1198"/>
    <cellStyle name="PercentPerso" xfId="1199"/>
    <cellStyle name="PercentPresentation" xfId="1200"/>
    <cellStyle name="PercentSales" xfId="1201"/>
    <cellStyle name="Percentuale_AAON_summary_Kevin" xfId="1202"/>
    <cellStyle name="percnet" xfId="1203"/>
    <cellStyle name="percnet 2" xfId="3686"/>
    <cellStyle name="perecent" xfId="1204"/>
    <cellStyle name="Period" xfId="1205"/>
    <cellStyle name="Perlong" xfId="1206"/>
    <cellStyle name="PerShare" xfId="1207"/>
    <cellStyle name="pf" xfId="1208"/>
    <cellStyle name="PLAN1" xfId="1209"/>
    <cellStyle name="POPS" xfId="1210"/>
    <cellStyle name="Porcentaje" xfId="1211"/>
    <cellStyle name="Porcentual_CAPEX_Acea_Alcatel_2505" xfId="1212"/>
    <cellStyle name="Pound" xfId="1213"/>
    <cellStyle name="Pound [1]" xfId="1214"/>
    <cellStyle name="Pound [2]" xfId="1215"/>
    <cellStyle name="Pounds No Decimal" xfId="1216"/>
    <cellStyle name="Pounds Total 2" xfId="1217"/>
    <cellStyle name="Pounds Total 2 2" xfId="3687"/>
    <cellStyle name="pp" xfId="1218"/>
    <cellStyle name="ppp" xfId="1219"/>
    <cellStyle name="PrePop Currency (0)" xfId="1220"/>
    <cellStyle name="PrePop Currency (2)" xfId="1221"/>
    <cellStyle name="PrePop Units (0)" xfId="1222"/>
    <cellStyle name="PrePop Units (1)" xfId="1223"/>
    <cellStyle name="PrePop Units (2)" xfId="1224"/>
    <cellStyle name="Presentation" xfId="1225"/>
    <cellStyle name="PresentationZero" xfId="1226"/>
    <cellStyle name="Price" xfId="1227"/>
    <cellStyle name="Private" xfId="1228"/>
    <cellStyle name="Private1" xfId="1229"/>
    <cellStyle name="Profit figure" xfId="1230"/>
    <cellStyle name="Proj" xfId="1231"/>
    <cellStyle name="pt" xfId="1232"/>
    <cellStyle name="ptit" xfId="1233"/>
    <cellStyle name="r" xfId="1234"/>
    <cellStyle name="Range" xfId="1235"/>
    <cellStyle name="rat" xfId="1236"/>
    <cellStyle name="rate" xfId="1237"/>
    <cellStyle name="Ratio" xfId="1238"/>
    <cellStyle name="Ratio Comma" xfId="1239"/>
    <cellStyle name="Ratio_57 Project Fly (2)" xfId="1240"/>
    <cellStyle name="RatioX" xfId="1241"/>
    <cellStyle name="red" xfId="1242"/>
    <cellStyle name="Red Box" xfId="1243"/>
    <cellStyle name="Red font" xfId="1244"/>
    <cellStyle name="Red Text" xfId="1245"/>
    <cellStyle name="Report" xfId="1246"/>
    <cellStyle name="Results % 0 dp" xfId="1247"/>
    <cellStyle name="Results % 1 dp" xfId="1248"/>
    <cellStyle name="Results % 2 dp" xfId="1249"/>
    <cellStyle name="Results % 3 dp" xfId="1250"/>
    <cellStyle name="Results 0 dp" xfId="1251"/>
    <cellStyle name="Results 1 dp" xfId="1252"/>
    <cellStyle name="Results 2 dp" xfId="1253"/>
    <cellStyle name="Results 3 dp" xfId="1254"/>
    <cellStyle name="Results x 1 dp" xfId="1255"/>
    <cellStyle name="Results x 2 dp" xfId="1256"/>
    <cellStyle name="Right" xfId="1257"/>
    <cellStyle name="Rounding" xfId="1258"/>
    <cellStyle name="Row Heading" xfId="1259"/>
    <cellStyle name="Row Headings" xfId="1260"/>
    <cellStyle name="Row Title 1" xfId="1261"/>
    <cellStyle name="Row Title 2" xfId="1262"/>
    <cellStyle name="Row Title 3" xfId="1263"/>
    <cellStyle name="Row Total" xfId="1264"/>
    <cellStyle name="RowHead" xfId="1265"/>
    <cellStyle name="RowHeading" xfId="1266"/>
    <cellStyle name="s" xfId="1267"/>
    <cellStyle name="s_Accretion (2)" xfId="1268"/>
    <cellStyle name="s_Accretion (2)_1" xfId="1269"/>
    <cellStyle name="s_Accretion (2)_2" xfId="1270"/>
    <cellStyle name="s_ad3" xfId="1271"/>
    <cellStyle name="s_ad3_1" xfId="1272"/>
    <cellStyle name="s_ad3_2" xfId="1273"/>
    <cellStyle name="s_ad5" xfId="1274"/>
    <cellStyle name="s_ad5_1" xfId="1275"/>
    <cellStyle name="s_AdditionalPrint Code" xfId="1276"/>
    <cellStyle name="s_AdditionalPrint Code_1" xfId="1277"/>
    <cellStyle name="s_asko1" xfId="1278"/>
    <cellStyle name="s_asko1_1" xfId="1279"/>
    <cellStyle name="s_Assumptions" xfId="1280"/>
    <cellStyle name="s_B_S_Ratios _B" xfId="1281"/>
    <cellStyle name="s_B_S_Ratios_T" xfId="1282"/>
    <cellStyle name="s_Bal Sheets (2)" xfId="1283"/>
    <cellStyle name="s_Bal Sheets (2)_1" xfId="1284"/>
    <cellStyle name="s_Bal Sheets (2)_2" xfId="1285"/>
    <cellStyle name="s_btr_2" xfId="1286"/>
    <cellStyle name="s_btr_2_1" xfId="1287"/>
    <cellStyle name="s_btr_2_2" xfId="1288"/>
    <cellStyle name="s_btr_3" xfId="1289"/>
    <cellStyle name="s_btr_3_1" xfId="1290"/>
    <cellStyle name="s_Bullet model 122" xfId="1291"/>
    <cellStyle name="s_Buy Back Model_adapted" xfId="1292"/>
    <cellStyle name="s_Cases (2)" xfId="1293"/>
    <cellStyle name="s_Cases (2)_1" xfId="1294"/>
    <cellStyle name="s_Cases (2)_1_M&amp;A Model" xfId="1295"/>
    <cellStyle name="s_Cases (2)_1_M&amp;A projections" xfId="1296"/>
    <cellStyle name="s_Cases (2)_2" xfId="1297"/>
    <cellStyle name="s_Cases (2)_M&amp;A Model" xfId="1298"/>
    <cellStyle name="s_Cases (2)_M&amp;A projections" xfId="1299"/>
    <cellStyle name="s_Cases (3)" xfId="1300"/>
    <cellStyle name="s_Cases (3)_1" xfId="1301"/>
    <cellStyle name="s_Cases (3)_2" xfId="1302"/>
    <cellStyle name="s_Cases (4)" xfId="1303"/>
    <cellStyle name="s_Cases (4)_1" xfId="1304"/>
    <cellStyle name="s_Crown" xfId="1305"/>
    <cellStyle name="s_Crown_1" xfId="1306"/>
    <cellStyle name="s_Crown_2" xfId="1307"/>
    <cellStyle name="s_dccmod1" xfId="1308"/>
    <cellStyle name="s_dccmod1_1" xfId="1309"/>
    <cellStyle name="s_dccmod1_2" xfId="1310"/>
    <cellStyle name="s_dcf" xfId="1311"/>
    <cellStyle name="s_DCF Matrix (2)" xfId="1312"/>
    <cellStyle name="s_DCF Matrix (2)_1" xfId="1313"/>
    <cellStyle name="s_DCF Matrix (3)" xfId="1314"/>
    <cellStyle name="s_DCF Matrix (3)_1" xfId="1315"/>
    <cellStyle name="s_DCF Matrix (4)" xfId="1316"/>
    <cellStyle name="s_DCF Matrix (4)_1" xfId="1317"/>
    <cellStyle name="s_DCF Matrix (4)_2" xfId="1318"/>
    <cellStyle name="s_dcf_1" xfId="1319"/>
    <cellStyle name="s_DCFLBO Code" xfId="1320"/>
    <cellStyle name="s_DCFLBO Code_1" xfId="1321"/>
    <cellStyle name="s_Definc_dcf_Industries_270301_ma" xfId="1322"/>
    <cellStyle name="s_Dilution" xfId="1323"/>
    <cellStyle name="s_DMPR Sale (2)" xfId="1324"/>
    <cellStyle name="s_Earnings (2)" xfId="1325"/>
    <cellStyle name="s_Earnings (2)_1" xfId="1326"/>
    <cellStyle name="s_Earnings (2)_1_M&amp;A Model" xfId="1327"/>
    <cellStyle name="s_Earnings (2)_1_M&amp;A projections" xfId="1328"/>
    <cellStyle name="s_Earnings (2)_2" xfId="1329"/>
    <cellStyle name="s_Earnings (2)_2_M&amp;A Model" xfId="1330"/>
    <cellStyle name="s_Earnings (2)_2_M&amp;A projections" xfId="1331"/>
    <cellStyle name="s_Earnings (2)_M&amp;A Model" xfId="1332"/>
    <cellStyle name="s_Earnings (2)_M&amp;A projections" xfId="1333"/>
    <cellStyle name="s_Earn-out (2)" xfId="1334"/>
    <cellStyle name="s_Earn-out (2)_1" xfId="1335"/>
    <cellStyle name="s_Euro 2 (2)" xfId="1336"/>
    <cellStyle name="s_Euro 2 (2)_1" xfId="1337"/>
    <cellStyle name="s_Euro PICS (2)" xfId="1338"/>
    <cellStyle name="s_Euro PICS (2)_1" xfId="1339"/>
    <cellStyle name="s_Euro PICS (3)" xfId="1340"/>
    <cellStyle name="s_Euro PICS (3)_1" xfId="1341"/>
    <cellStyle name="s_Europe (2)" xfId="1342"/>
    <cellStyle name="s_Europe (2)_1" xfId="1343"/>
    <cellStyle name="s_Europe (2)_2" xfId="1344"/>
    <cellStyle name="s_Final Model2" xfId="1345"/>
    <cellStyle name="s_Final Model2_1" xfId="1346"/>
    <cellStyle name="s_FINALWOOLMODEL" xfId="1347"/>
    <cellStyle name="s_Financials_B" xfId="1348"/>
    <cellStyle name="s_Financials_T" xfId="1349"/>
    <cellStyle name="s_Grandvision_LBO2" xfId="1350"/>
    <cellStyle name="s_Grouse+Pelican" xfId="1351"/>
    <cellStyle name="s_Hist Inputs (2)" xfId="1352"/>
    <cellStyle name="s_Hist Inputs (2)_1" xfId="1353"/>
    <cellStyle name="s_Hist Inputs (3)" xfId="1354"/>
    <cellStyle name="s_Hist Inputs (3)_1" xfId="1355"/>
    <cellStyle name="s_Hist Inputs (4)" xfId="1356"/>
    <cellStyle name="s_Hist Inputs (4)_1" xfId="1357"/>
    <cellStyle name="s_LBO" xfId="1358"/>
    <cellStyle name="s_LBO IRR (2)" xfId="1359"/>
    <cellStyle name="s_LBO IRR (2)_1" xfId="1360"/>
    <cellStyle name="s_LBO Sens (2)" xfId="1361"/>
    <cellStyle name="s_LBO Sens (2)_1" xfId="1362"/>
    <cellStyle name="s_LBO Sens (2)_2" xfId="1363"/>
    <cellStyle name="s_LBO Summary (2)" xfId="1364"/>
    <cellStyle name="s_LBO Summary (2)_1" xfId="1365"/>
    <cellStyle name="s_LBO_1" xfId="1366"/>
    <cellStyle name="s_LBO_2" xfId="1367"/>
    <cellStyle name="s_lbo1" xfId="1368"/>
    <cellStyle name="s_lbo1_1" xfId="1369"/>
    <cellStyle name="s_lbo1_2" xfId="1370"/>
    <cellStyle name="s_lbo3" xfId="1371"/>
    <cellStyle name="s_lbo3_1" xfId="1372"/>
    <cellStyle name="s_LBO5" xfId="1373"/>
    <cellStyle name="s_LBO5_1" xfId="1374"/>
    <cellStyle name="s_M&amp;A Model" xfId="1375"/>
    <cellStyle name="s_M&amp;A projections" xfId="1376"/>
    <cellStyle name="s_MainPrint Code" xfId="1377"/>
    <cellStyle name="s_MainPrint Code_1" xfId="1378"/>
    <cellStyle name="s_Matrix_B" xfId="1379"/>
    <cellStyle name="s_Matrix_T" xfId="1380"/>
    <cellStyle name="s_Merger" xfId="1381"/>
    <cellStyle name="s_mod14" xfId="1382"/>
    <cellStyle name="s_mod14_1" xfId="1383"/>
    <cellStyle name="s_mod7" xfId="1384"/>
    <cellStyle name="s_mod7_1" xfId="1385"/>
    <cellStyle name="s_mod9" xfId="1386"/>
    <cellStyle name="s_mod9_1" xfId="1387"/>
    <cellStyle name="s_model1" xfId="1388"/>
    <cellStyle name="s_model1_1" xfId="1389"/>
    <cellStyle name="s_model1_2" xfId="1390"/>
    <cellStyle name="s_model19" xfId="1391"/>
    <cellStyle name="s_model19_1" xfId="1392"/>
    <cellStyle name="s_model2" xfId="1393"/>
    <cellStyle name="s_model6" xfId="1394"/>
    <cellStyle name="s_model6_1" xfId="1395"/>
    <cellStyle name="s_model6_2" xfId="1396"/>
    <cellStyle name="s_NOL (2)" xfId="1397"/>
    <cellStyle name="s_NOL (2)_1" xfId="1398"/>
    <cellStyle name="s_NOL (2)_2" xfId="1399"/>
    <cellStyle name="s_P_L_Ratios" xfId="1400"/>
    <cellStyle name="s_P_L_Ratios_B" xfId="1401"/>
    <cellStyle name="s_Paint 18 - MC" xfId="1402"/>
    <cellStyle name="s_PFMA Cap (2)" xfId="1403"/>
    <cellStyle name="s_PFMA Cap (2)_1" xfId="1404"/>
    <cellStyle name="s_PFMA Cap (2)_2" xfId="1405"/>
    <cellStyle name="s_PFMA Credit (2)" xfId="1406"/>
    <cellStyle name="s_PFMA Credit (2)_1" xfId="1407"/>
    <cellStyle name="s_RECESSA" xfId="1408"/>
    <cellStyle name="s_RECESSA_1" xfId="1409"/>
    <cellStyle name="s_Restructuring (2)" xfId="1410"/>
    <cellStyle name="s_Restructuring (2)_1" xfId="1411"/>
    <cellStyle name="s_Restructuring (2)_2" xfId="1412"/>
    <cellStyle name="s_Revised" xfId="1413"/>
    <cellStyle name="s_S_By_S" xfId="1414"/>
    <cellStyle name="s_saft_1" xfId="1415"/>
    <cellStyle name="s_saft_1_2" xfId="1416"/>
    <cellStyle name="s_Schedules (2)" xfId="1417"/>
    <cellStyle name="s_Schedules (2)_1" xfId="1418"/>
    <cellStyle name="s_Schedules (2)_2" xfId="1419"/>
    <cellStyle name="s_Sheet5" xfId="1420"/>
    <cellStyle name="s_Standalone (2)" xfId="1421"/>
    <cellStyle name="s_Standalone (2)_1" xfId="1422"/>
    <cellStyle name="s_Standalone (2)_2" xfId="1423"/>
    <cellStyle name="s_Trading Val Calc (2)" xfId="1424"/>
    <cellStyle name="s_Trading Val Calc (2)_1" xfId="1425"/>
    <cellStyle name="s_Val Sum (2)" xfId="1426"/>
    <cellStyle name="s_Val Sum (2)_1" xfId="1427"/>
    <cellStyle name="s_Val Sum (2)_2" xfId="1428"/>
    <cellStyle name="s_Valuation " xfId="1429"/>
    <cellStyle name="s_WACC benchmarking" xfId="1430"/>
    <cellStyle name="s_WACC benchmarking 2" xfId="3688"/>
    <cellStyle name="s_West Ham (2)" xfId="1431"/>
    <cellStyle name="s_West Ham (2)_1" xfId="1432"/>
    <cellStyle name="s_West Ham (2)_2" xfId="1433"/>
    <cellStyle name="s_Westham (2)" xfId="1434"/>
    <cellStyle name="s_Westham (2)_1" xfId="1435"/>
    <cellStyle name="s_Westham (2)_2" xfId="1436"/>
    <cellStyle name="s_Wool_01_07_12_1999_1" xfId="1437"/>
    <cellStyle name="s_Wool_01_07_12_1999_2" xfId="1438"/>
    <cellStyle name="s_Wool_14_12_1999_2" xfId="1439"/>
    <cellStyle name="s_Wool_15_02_2000" xfId="1440"/>
    <cellStyle name="s_Wool_15_02_2000_1" xfId="1441"/>
    <cellStyle name="s_Wool_15_02_2000_2" xfId="1442"/>
    <cellStyle name="s_WoolEuro_12_04_2000_02_1" xfId="1443"/>
    <cellStyle name="s_WoolEuro_12_04_2000_02_2" xfId="1444"/>
    <cellStyle name="s_WoolEuro_17_03_2000_1" xfId="1445"/>
    <cellStyle name="s_WoolEuro_20_03_2000_3" xfId="1446"/>
    <cellStyle name="s_WoolEuroEx_14_04_2000_01" xfId="1447"/>
    <cellStyle name="s_WoolEuroEx_14_04_2000_01_1" xfId="1448"/>
    <cellStyle name="Salomon Logo" xfId="1449"/>
    <cellStyle name="same_prices" xfId="1450"/>
    <cellStyle name="SAPBEXaggData" xfId="1451"/>
    <cellStyle name="SAPBEXaggDataEmph" xfId="1452"/>
    <cellStyle name="SAPBEXaggExc1" xfId="1453"/>
    <cellStyle name="SAPBEXaggExc1Emph" xfId="1454"/>
    <cellStyle name="SAPBEXaggExc2" xfId="1455"/>
    <cellStyle name="SAPBEXaggExc2Emph" xfId="1456"/>
    <cellStyle name="SAPBEXaggItem" xfId="1457"/>
    <cellStyle name="SAPBEXchaText" xfId="1458"/>
    <cellStyle name="SAPBEXfilterDrill" xfId="1459"/>
    <cellStyle name="SAPBEXfilterItem" xfId="1460"/>
    <cellStyle name="SAPBEXfilterText" xfId="1461"/>
    <cellStyle name="SAPBEXformats" xfId="1462"/>
    <cellStyle name="SAPBEXheaderData" xfId="1463"/>
    <cellStyle name="SAPBEXheaderItem" xfId="1464"/>
    <cellStyle name="SAPBEXheaderText" xfId="1465"/>
    <cellStyle name="SAPBEXresData" xfId="1466"/>
    <cellStyle name="SAPBEXresDataEmph" xfId="1467"/>
    <cellStyle name="SAPBEXresExc1" xfId="1468"/>
    <cellStyle name="SAPBEXresExc1Emph" xfId="1469"/>
    <cellStyle name="SAPBEXresExc2" xfId="1470"/>
    <cellStyle name="SAPBEXresExc2Emph" xfId="1471"/>
    <cellStyle name="SAPBEXresItem" xfId="1472"/>
    <cellStyle name="SAPBEXstdData" xfId="1473"/>
    <cellStyle name="SAPBEXstdDataEmph" xfId="1474"/>
    <cellStyle name="SAPBEXstdExc1" xfId="1475"/>
    <cellStyle name="SAPBEXstdExc1Emph" xfId="1476"/>
    <cellStyle name="SAPBEXstdExc2" xfId="1477"/>
    <cellStyle name="SAPBEXstdExc2Emph" xfId="1478"/>
    <cellStyle name="SAPBEXstdItem" xfId="1479"/>
    <cellStyle name="SAPBEXsubData" xfId="1480"/>
    <cellStyle name="SAPBEXsubDataEmph" xfId="1481"/>
    <cellStyle name="SAPBEXsubExc1" xfId="1482"/>
    <cellStyle name="SAPBEXsubExc1Emph" xfId="1483"/>
    <cellStyle name="SAPBEXsubExc2" xfId="1484"/>
    <cellStyle name="SAPBEXsubExc2Emph" xfId="1485"/>
    <cellStyle name="SAPBEXsubItem" xfId="1486"/>
    <cellStyle name="SAPBEXtitle" xfId="1487"/>
    <cellStyle name="SAPBEXundefined" xfId="1488"/>
    <cellStyle name="SAPKey" xfId="1489"/>
    <cellStyle name="SAPLocked" xfId="1490"/>
    <cellStyle name="SAPOutput" xfId="1491"/>
    <cellStyle name="SAPSpace" xfId="1492"/>
    <cellStyle name="SAPText" xfId="1493"/>
    <cellStyle name="SAPUnLocked" xfId="1494"/>
    <cellStyle name="ScripFactor" xfId="1495"/>
    <cellStyle name="sd" xfId="1496"/>
    <cellStyle name="Section" xfId="1497"/>
    <cellStyle name="Section name" xfId="1498"/>
    <cellStyle name="Section Title" xfId="1499"/>
    <cellStyle name="Section_M&amp;A Model" xfId="1500"/>
    <cellStyle name="SectionHeading" xfId="1501"/>
    <cellStyle name="Separador de milhares [0]_planbrasil 1" xfId="1502"/>
    <cellStyle name="Separador de milhares_planbrasil 1" xfId="1503"/>
    <cellStyle name="sf" xfId="1504"/>
    <cellStyle name="sff" xfId="1505"/>
    <cellStyle name="Shaded" xfId="1506"/>
    <cellStyle name="Shading" xfId="1507"/>
    <cellStyle name="Shares" xfId="1508"/>
    <cellStyle name="Sheetmult" xfId="1509"/>
    <cellStyle name="Short Date" xfId="1510"/>
    <cellStyle name="Short Time" xfId="1511"/>
    <cellStyle name="Shtmultx" xfId="1512"/>
    <cellStyle name="Single Accounting" xfId="1513"/>
    <cellStyle name="Single Border" xfId="1514"/>
    <cellStyle name="Single Underline" xfId="1515"/>
    <cellStyle name="Small Number" xfId="1516"/>
    <cellStyle name="Small Page Heading" xfId="1517"/>
    <cellStyle name="Small Percentage" xfId="1518"/>
    <cellStyle name="Spreadsheet title" xfId="1519"/>
    <cellStyle name="spt" xfId="1520"/>
    <cellStyle name="ss" xfId="1521"/>
    <cellStyle name="ss0" xfId="1522"/>
    <cellStyle name="ss0 2" xfId="3689"/>
    <cellStyle name="ss1" xfId="1523"/>
    <cellStyle name="ss1 2" xfId="3690"/>
    <cellStyle name="ss2" xfId="1524"/>
    <cellStyle name="ss2 2" xfId="3691"/>
    <cellStyle name="ssp " xfId="1525"/>
    <cellStyle name="st" xfId="1526"/>
    <cellStyle name="Standaard_balance" xfId="1527"/>
    <cellStyle name="Standard" xfId="1528"/>
    <cellStyle name="Standard Header" xfId="1529"/>
    <cellStyle name="Standard__Utopia Index Index und Guidance (Deutsch)" xfId="1530"/>
    <cellStyle name="Std_1" xfId="1531"/>
    <cellStyle name="Stock Comma" xfId="1532"/>
    <cellStyle name="Stock Price" xfId="1533"/>
    <cellStyle name="Strange" xfId="1534"/>
    <cellStyle name="Strictly confidential" xfId="1535"/>
    <cellStyle name="Strictly confidential 2" xfId="3692"/>
    <cellStyle name="STYL1 - Style1" xfId="1536"/>
    <cellStyle name="Style 1" xfId="1537"/>
    <cellStyle name="Style 2" xfId="1538"/>
    <cellStyle name="Style 3" xfId="1539"/>
    <cellStyle name="Subhead" xfId="1540"/>
    <cellStyle name="Subheadbldun" xfId="1541"/>
    <cellStyle name="SubHeading" xfId="1542"/>
    <cellStyle name="SubHeading 1" xfId="1543"/>
    <cellStyle name="SubHeading 2" xfId="1544"/>
    <cellStyle name="SubHeading_57 Project Fly (2)" xfId="1545"/>
    <cellStyle name="SubsidTitle" xfId="1546"/>
    <cellStyle name="SubsubHead" xfId="1547"/>
    <cellStyle name="Subtitle" xfId="1548"/>
    <cellStyle name="Sub-titulo" xfId="1549"/>
    <cellStyle name="Sub-titulo 2" xfId="1550"/>
    <cellStyle name="Subtotal" xfId="1551"/>
    <cellStyle name="Sub-total" xfId="1552"/>
    <cellStyle name="Subtotal 2" xfId="3693"/>
    <cellStyle name="Subtotal_left" xfId="1553"/>
    <cellStyle name="Summary" xfId="1554"/>
    <cellStyle name="Summe" xfId="1555"/>
    <cellStyle name="SuppCalc (0.0)" xfId="1556"/>
    <cellStyle name="SwitchA" xfId="1557"/>
    <cellStyle name="SwitchR" xfId="1558"/>
    <cellStyle name="t" xfId="1559"/>
    <cellStyle name="t#" xfId="1560"/>
    <cellStyle name="t%" xfId="1561"/>
    <cellStyle name="t_Ithaca_Options Outstanding_20051211" xfId="1562"/>
    <cellStyle name="t_Manager" xfId="1563"/>
    <cellStyle name="t_Valuation" xfId="1564"/>
    <cellStyle name="t_WACC benchmarking" xfId="1565"/>
    <cellStyle name="t1" xfId="1566"/>
    <cellStyle name="Table" xfId="1567"/>
    <cellStyle name="Table Col Head" xfId="1568"/>
    <cellStyle name="table column heading" xfId="1569"/>
    <cellStyle name="Table Head" xfId="1570"/>
    <cellStyle name="Table Head Aligned" xfId="1571"/>
    <cellStyle name="Table Head Blue" xfId="1572"/>
    <cellStyle name="Table Head Green" xfId="1573"/>
    <cellStyle name="Table Head__WACC analysis" xfId="1574"/>
    <cellStyle name="Table Heading" xfId="1575"/>
    <cellStyle name="Table Source" xfId="1576"/>
    <cellStyle name="Table Sub Head" xfId="1577"/>
    <cellStyle name="Table Sub Heading" xfId="1578"/>
    <cellStyle name="Table Text" xfId="1579"/>
    <cellStyle name="Table Title" xfId="1580"/>
    <cellStyle name="Table Units" xfId="1581"/>
    <cellStyle name="Table_Header" xfId="1582"/>
    <cellStyle name="TableBase" xfId="1583"/>
    <cellStyle name="TableBase 2" xfId="3694"/>
    <cellStyle name="TableColumnHeading" xfId="1584"/>
    <cellStyle name="TableFootnotes" xfId="1585"/>
    <cellStyle name="TableHead" xfId="1586"/>
    <cellStyle name="TableName" xfId="1587"/>
    <cellStyle name="TableSubTitleItalic" xfId="1588"/>
    <cellStyle name="TableText" xfId="1589"/>
    <cellStyle name="TableTitle" xfId="1590"/>
    <cellStyle name="TableTitleFormat" xfId="1591"/>
    <cellStyle name="Tag" xfId="1592"/>
    <cellStyle name="Test" xfId="1593"/>
    <cellStyle name="Test [green]" xfId="1594"/>
    <cellStyle name="Text" xfId="1595"/>
    <cellStyle name="Text [4]" xfId="1596"/>
    <cellStyle name="Text [8]" xfId="1597"/>
    <cellStyle name="Text [Bullet]" xfId="1598"/>
    <cellStyle name="Text [Dash]" xfId="1599"/>
    <cellStyle name="Text [Em-Dash]" xfId="1600"/>
    <cellStyle name="Text 1" xfId="1601"/>
    <cellStyle name="Text 2" xfId="1602"/>
    <cellStyle name="Text Head" xfId="1603"/>
    <cellStyle name="Text Head 1" xfId="1604"/>
    <cellStyle name="Text Head 2" xfId="1605"/>
    <cellStyle name="Text Indent 1" xfId="1606"/>
    <cellStyle name="Text Indent 2" xfId="1607"/>
    <cellStyle name="Text Indent A" xfId="1608"/>
    <cellStyle name="Text Indent B" xfId="1609"/>
    <cellStyle name="Text Indent C" xfId="1610"/>
    <cellStyle name="Text Wrap" xfId="1611"/>
    <cellStyle name="Text_comparison" xfId="1612"/>
    <cellStyle name="TFCF" xfId="1613"/>
    <cellStyle name="thousand" xfId="1614"/>
    <cellStyle name="threedecplace" xfId="1615"/>
    <cellStyle name="Tick" xfId="1616"/>
    <cellStyle name="time" xfId="1617"/>
    <cellStyle name="Time Strip" xfId="1618"/>
    <cellStyle name="Time_M&amp;A Model" xfId="1619"/>
    <cellStyle name="times" xfId="1620"/>
    <cellStyle name="Times [1]" xfId="1621"/>
    <cellStyle name="Times [1] Total" xfId="1622"/>
    <cellStyle name="Times [1] Total 2" xfId="3695"/>
    <cellStyle name="Times [1]_GP_NEM_4" xfId="1623"/>
    <cellStyle name="Times [2]" xfId="1624"/>
    <cellStyle name="Times [2] Total" xfId="1625"/>
    <cellStyle name="Times [2] Total 2" xfId="3696"/>
    <cellStyle name="Times [2]_GP_NEM_4" xfId="1626"/>
    <cellStyle name="Times [3]" xfId="1627"/>
    <cellStyle name="Times 10" xfId="1628"/>
    <cellStyle name="Times 12" xfId="1629"/>
    <cellStyle name="Times New Roman" xfId="1630"/>
    <cellStyle name="times_EXPN" xfId="1631"/>
    <cellStyle name="titel" xfId="1632"/>
    <cellStyle name="Title Heading" xfId="1633"/>
    <cellStyle name="Title II" xfId="1634"/>
    <cellStyle name="Title1" xfId="1635"/>
    <cellStyle name="Title2" xfId="1636"/>
    <cellStyle name="TitleII" xfId="1637"/>
    <cellStyle name="Titles" xfId="1638"/>
    <cellStyle name="Titles2" xfId="1639"/>
    <cellStyle name="TitleYear" xfId="1640"/>
    <cellStyle name="titre_col" xfId="1641"/>
    <cellStyle name="Titulo-Seccion" xfId="1642"/>
    <cellStyle name="tom" xfId="1643"/>
    <cellStyle name="Top Edge" xfId="1644"/>
    <cellStyle name="TopCaption" xfId="1645"/>
    <cellStyle name="Topline" xfId="1646"/>
    <cellStyle name="Topline 2" xfId="3697"/>
    <cellStyle name="Totals" xfId="1647"/>
    <cellStyle name="Totals [0]" xfId="1648"/>
    <cellStyle name="Totals [2]" xfId="1649"/>
    <cellStyle name="Totals_57 Project Fly (2)" xfId="1650"/>
    <cellStyle name="trailing" xfId="1651"/>
    <cellStyle name="ts0" xfId="1652"/>
    <cellStyle name="ts1" xfId="1653"/>
    <cellStyle name="ts2" xfId="1654"/>
    <cellStyle name="u" xfId="1655"/>
    <cellStyle name="u_MD 1 model_blank_Augustin" xfId="1656"/>
    <cellStyle name="ubordinated Debt" xfId="1657"/>
    <cellStyle name="Undefiniert" xfId="1658"/>
    <cellStyle name="underline" xfId="1659"/>
    <cellStyle name="Underscore" xfId="1660"/>
    <cellStyle name="Underscore 2" xfId="3698"/>
    <cellStyle name="units" xfId="1661"/>
    <cellStyle name="Unprot" xfId="1662"/>
    <cellStyle name="Unprot$" xfId="1663"/>
    <cellStyle name="Unprotect" xfId="1664"/>
    <cellStyle name="User_Defined_A" xfId="1665"/>
    <cellStyle name="Valuta (0)" xfId="1666"/>
    <cellStyle name="Valuta [0]_DCF Filos" xfId="1667"/>
    <cellStyle name="Valuta_Compkey_95" xfId="1668"/>
    <cellStyle name="VertPC" xfId="1669"/>
    <cellStyle name="Währung [0]_Admin" xfId="1670"/>
    <cellStyle name="Währung_Admin" xfId="1671"/>
    <cellStyle name="White" xfId="1672"/>
    <cellStyle name="WholeNumber" xfId="1673"/>
    <cellStyle name="WP Header" xfId="1674"/>
    <cellStyle name="WrappedBold" xfId="1675"/>
    <cellStyle name="x0" xfId="1676"/>
    <cellStyle name="x1" xfId="1677"/>
    <cellStyle name="x2" xfId="1678"/>
    <cellStyle name="year" xfId="1679"/>
    <cellStyle name="Year Estimates" xfId="1680"/>
    <cellStyle name="Year Historicals" xfId="1681"/>
    <cellStyle name="Year_MD 1 model_blank_Augustin" xfId="1682"/>
    <cellStyle name="YearA" xfId="1683"/>
    <cellStyle name="YearE" xfId="1684"/>
    <cellStyle name="Yen" xfId="1685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903129\Desktop\ChartPRO\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arb\Desktop\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Working%20_ValCom_11.05.06_APK_FINALVALCOM.xls.zip\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haf\Local%20Settings\Temporary%20Internet%20Files\OLKC\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Defence\Model\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NILIAD\Workings\Nov%2005\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Bia\Models\Feb%202006\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416046\Temp\notes9DC704\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239287\Temp\notesB0A751\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Esmond\Kazakhmys\2006\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Client%20Directory\H\Hays\Model\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ng\Admin\Mincomps\General%20mining\2005\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ergers\Client%20Directory\F\FKI\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Copy%20of%20Rusal_model_v%2016%20xls.zip\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Tuck\Models\Round%20II\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InterContinental%20Hotels\2008\Valuation%20and%20defence%20-%20June%202008\Data%20Files\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frehner\Local%20Settings\Temporary%20Internet%20Files\OLK94\legal\Anylyst%20Company%20Model\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maharaj\Local%20Settings\Temporary%20Internet%20Files\OLK84\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ydian\NGC%20ongoing\Lydian%20Model\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Dolphin\Lydian%20Model\legal\Anylyst%20Company%20Model\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Project%20Diablo\Model\superceded\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"/>
  <sheetViews>
    <sheetView workbookViewId="0">
      <selection activeCell="B1" sqref="B1"/>
    </sheetView>
  </sheetViews>
  <sheetFormatPr defaultColWidth="8.77734375" defaultRowHeight="13.2"/>
  <sheetData>
    <row r="1" spans="1:2">
      <c r="B1" s="28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B2:W44"/>
  <sheetViews>
    <sheetView showGridLines="0" zoomScale="85" zoomScaleNormal="85" zoomScaleSheetLayoutView="85" workbookViewId="0"/>
  </sheetViews>
  <sheetFormatPr defaultColWidth="9.109375" defaultRowHeight="13.2"/>
  <cols>
    <col min="1" max="1" width="3" style="1" customWidth="1"/>
    <col min="2" max="4" width="2.77734375" style="1" customWidth="1"/>
    <col min="5" max="5" width="28.44140625" style="1" customWidth="1"/>
    <col min="6" max="8" width="7.109375" style="1" customWidth="1"/>
    <col min="9" max="14" width="9.109375" style="1"/>
    <col min="15" max="15" width="12.77734375" style="1" customWidth="1"/>
    <col min="16" max="16" width="9.109375" style="1"/>
    <col min="17" max="17" width="10" style="1" customWidth="1"/>
    <col min="18" max="18" width="9.109375" style="1"/>
    <col min="19" max="19" width="15.44140625" style="1" bestFit="1" customWidth="1"/>
    <col min="20" max="20" width="8.44140625" style="1" customWidth="1"/>
    <col min="21" max="21" width="3.6640625" style="1" customWidth="1"/>
    <col min="22" max="16384" width="9.109375" style="1"/>
  </cols>
  <sheetData>
    <row r="2" spans="2:23">
      <c r="B2"/>
    </row>
    <row r="9" spans="2:23" ht="19.2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4"/>
    </row>
    <row r="13" spans="2:23">
      <c r="W13"/>
    </row>
    <row r="14" spans="2:23" ht="12.75" customHeight="1">
      <c r="C14" s="16"/>
      <c r="D14" s="422" t="s">
        <v>136</v>
      </c>
      <c r="E14" s="423"/>
      <c r="F14" s="423"/>
      <c r="G14" s="423"/>
      <c r="H14" s="423"/>
      <c r="I14" s="423"/>
      <c r="J14" s="423"/>
      <c r="K14" s="423"/>
      <c r="L14" s="423"/>
      <c r="M14" s="423"/>
      <c r="N14" s="423"/>
      <c r="O14" s="423"/>
      <c r="P14" s="423"/>
      <c r="Q14" s="423"/>
      <c r="R14" s="423"/>
      <c r="S14" s="423"/>
      <c r="T14" s="423"/>
      <c r="W14"/>
    </row>
    <row r="15" spans="2:23" ht="12.75" customHeight="1">
      <c r="C15" s="16"/>
      <c r="D15" s="424"/>
      <c r="E15" s="423"/>
      <c r="F15" s="423"/>
      <c r="G15" s="423"/>
      <c r="H15" s="423"/>
      <c r="I15" s="423"/>
      <c r="J15" s="423"/>
      <c r="K15" s="423"/>
      <c r="L15" s="423"/>
      <c r="M15" s="423"/>
      <c r="N15" s="423"/>
      <c r="O15" s="423"/>
      <c r="P15" s="423"/>
      <c r="Q15" s="423"/>
      <c r="R15" s="423"/>
      <c r="S15" s="423"/>
      <c r="T15" s="423"/>
      <c r="W15"/>
    </row>
    <row r="16" spans="2:23" ht="12.75" customHeight="1">
      <c r="C16" s="16"/>
      <c r="D16" s="424"/>
      <c r="E16" s="423"/>
      <c r="F16" s="423"/>
      <c r="G16" s="423"/>
      <c r="H16" s="423"/>
      <c r="I16" s="423"/>
      <c r="J16" s="423"/>
      <c r="K16" s="423"/>
      <c r="L16" s="423"/>
      <c r="M16" s="423"/>
      <c r="N16" s="423"/>
      <c r="O16" s="423"/>
      <c r="P16" s="423"/>
      <c r="Q16" s="423"/>
      <c r="R16" s="423"/>
      <c r="S16" s="423"/>
      <c r="T16" s="423"/>
      <c r="W16"/>
    </row>
    <row r="17" spans="3:23" ht="12.75" customHeight="1">
      <c r="D17" s="424"/>
      <c r="E17" s="423"/>
      <c r="F17" s="423"/>
      <c r="G17" s="423"/>
      <c r="H17" s="423"/>
      <c r="I17" s="423"/>
      <c r="J17" s="423"/>
      <c r="K17" s="423"/>
      <c r="L17" s="423"/>
      <c r="M17" s="423"/>
      <c r="N17" s="423"/>
      <c r="O17" s="423"/>
      <c r="P17" s="423"/>
      <c r="Q17" s="423"/>
      <c r="R17" s="423"/>
      <c r="S17" s="423"/>
      <c r="T17" s="423"/>
      <c r="W17"/>
    </row>
    <row r="18" spans="3:23">
      <c r="W18"/>
    </row>
    <row r="19" spans="3:23" ht="18">
      <c r="C19" s="425" t="s">
        <v>20</v>
      </c>
      <c r="E19" s="382">
        <f>Assumptions!D12</f>
        <v>43921</v>
      </c>
      <c r="W19"/>
    </row>
    <row r="20" spans="3:23">
      <c r="C20" s="425"/>
      <c r="W20"/>
    </row>
    <row r="21" spans="3:23">
      <c r="C21" s="425"/>
      <c r="W21"/>
    </row>
    <row r="22" spans="3:23">
      <c r="C22" s="425"/>
      <c r="W22"/>
    </row>
    <row r="23" spans="3:23">
      <c r="C23" s="425"/>
    </row>
    <row r="24" spans="3:23">
      <c r="C24" s="425"/>
    </row>
    <row r="25" spans="3:23">
      <c r="C25" s="425"/>
    </row>
    <row r="26" spans="3:23" ht="12.75" customHeight="1">
      <c r="C26" s="425"/>
    </row>
    <row r="27" spans="3:23">
      <c r="C27" s="425"/>
    </row>
    <row r="28" spans="3:23">
      <c r="C28" s="425"/>
    </row>
    <row r="29" spans="3:23" ht="4.5" customHeight="1">
      <c r="C29" s="425"/>
    </row>
    <row r="30" spans="3:23">
      <c r="C30" s="425"/>
      <c r="Q30" s="197"/>
      <c r="R30" s="198"/>
      <c r="S30" s="198"/>
      <c r="T30" s="199"/>
    </row>
    <row r="31" spans="3:23">
      <c r="C31" s="425"/>
      <c r="Q31" s="198"/>
      <c r="R31" s="198"/>
      <c r="S31" s="198"/>
      <c r="T31" s="199"/>
      <c r="V31" s="51"/>
    </row>
    <row r="32" spans="3:23">
      <c r="C32" s="425"/>
      <c r="Q32" s="198"/>
      <c r="R32" s="198"/>
      <c r="S32" s="198"/>
      <c r="T32" s="199"/>
    </row>
    <row r="33" spans="3:21">
      <c r="C33" s="425"/>
      <c r="P33" s="381"/>
      <c r="Q33" s="200"/>
      <c r="R33" s="198"/>
      <c r="S33" s="198"/>
      <c r="T33" s="199"/>
      <c r="U33" s="381"/>
    </row>
    <row r="34" spans="3:21">
      <c r="C34" s="425"/>
      <c r="P34" s="381"/>
      <c r="Q34" s="200"/>
      <c r="R34" s="198"/>
      <c r="S34" s="198"/>
      <c r="T34" s="199"/>
      <c r="U34" s="381"/>
    </row>
    <row r="35" spans="3:21" ht="4.5" customHeight="1">
      <c r="C35" s="425"/>
      <c r="P35" s="381"/>
      <c r="Q35" s="200"/>
      <c r="R35" s="198"/>
      <c r="S35" s="198"/>
      <c r="T35" s="199"/>
      <c r="U35" s="381"/>
    </row>
    <row r="36" spans="3:21">
      <c r="C36" s="425"/>
      <c r="P36" s="381"/>
      <c r="Q36" s="200"/>
      <c r="R36" s="198"/>
      <c r="S36" s="198"/>
      <c r="T36" s="199"/>
      <c r="U36" s="381"/>
    </row>
    <row r="37" spans="3:21">
      <c r="C37" s="425"/>
      <c r="G37"/>
      <c r="P37" s="381"/>
      <c r="Q37" s="200"/>
      <c r="R37" s="198"/>
      <c r="S37" s="198"/>
      <c r="T37" s="199"/>
      <c r="U37" s="381"/>
    </row>
    <row r="38" spans="3:21">
      <c r="C38" s="425"/>
      <c r="P38" s="381"/>
      <c r="Q38" s="200"/>
      <c r="R38" s="198"/>
      <c r="S38" s="198"/>
      <c r="T38" s="199"/>
      <c r="U38" s="381"/>
    </row>
    <row r="39" spans="3:21">
      <c r="C39" s="425"/>
      <c r="P39" s="381"/>
      <c r="Q39" s="200"/>
      <c r="R39" s="198"/>
      <c r="S39" s="198"/>
      <c r="T39" s="199"/>
      <c r="U39" s="381"/>
    </row>
    <row r="40" spans="3:21">
      <c r="C40" s="425"/>
    </row>
    <row r="41" spans="3:21">
      <c r="C41" s="425"/>
    </row>
    <row r="42" spans="3:21">
      <c r="C42" s="425"/>
    </row>
    <row r="43" spans="3:21">
      <c r="C43" s="425"/>
    </row>
    <row r="44" spans="3:21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7734375"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79998168889431442"/>
  </sheetPr>
  <dimension ref="A1:R520"/>
  <sheetViews>
    <sheetView showGridLines="0" zoomScale="85" zoomScaleNormal="85" zoomScaleSheetLayoutView="100" workbookViewId="0">
      <selection activeCell="D17" sqref="D17"/>
    </sheetView>
  </sheetViews>
  <sheetFormatPr defaultColWidth="8.77734375" defaultRowHeight="13.2"/>
  <cols>
    <col min="1" max="1" width="3" style="127" customWidth="1"/>
    <col min="2" max="2" width="2.77734375" customWidth="1"/>
    <col min="3" max="3" width="32.44140625" bestFit="1" customWidth="1"/>
    <col min="4" max="4" width="9.6640625" customWidth="1"/>
    <col min="5" max="5" width="9.33203125" customWidth="1"/>
    <col min="6" max="6" width="18.44140625" bestFit="1" customWidth="1"/>
    <col min="8" max="9" width="9.109375" customWidth="1"/>
    <col min="12" max="12" width="2.77734375" customWidth="1"/>
  </cols>
  <sheetData>
    <row r="1" spans="1:18" s="127" customFormat="1"/>
    <row r="3" spans="1:18" s="180" customFormat="1" ht="21">
      <c r="C3" s="181" t="s">
        <v>17</v>
      </c>
      <c r="D3" s="182"/>
      <c r="E3" s="182"/>
      <c r="F3" s="182"/>
      <c r="G3" s="182"/>
      <c r="H3" s="182"/>
      <c r="I3" s="182"/>
      <c r="J3" s="182"/>
      <c r="K3" s="182"/>
    </row>
    <row r="4" spans="1:18" ht="4.5" customHeight="1"/>
    <row r="5" spans="1:18">
      <c r="C5" s="53" t="s">
        <v>18</v>
      </c>
      <c r="D5" s="53"/>
      <c r="E5" s="53"/>
      <c r="F5" s="53"/>
      <c r="G5" s="53"/>
      <c r="H5" s="53"/>
      <c r="I5" s="53"/>
      <c r="J5" s="53"/>
      <c r="K5" s="53"/>
    </row>
    <row r="6" spans="1:18" ht="12.75" customHeight="1">
      <c r="D6" s="28"/>
    </row>
    <row r="7" spans="1:18">
      <c r="C7" s="28" t="s">
        <v>148</v>
      </c>
      <c r="D7" s="379">
        <v>1</v>
      </c>
    </row>
    <row r="8" spans="1:18" s="28" customFormat="1">
      <c r="A8" s="127"/>
    </row>
    <row r="9" spans="1:18" s="28" customFormat="1">
      <c r="A9" s="127"/>
      <c r="C9" s="53" t="s">
        <v>30</v>
      </c>
      <c r="D9" s="53"/>
      <c r="E9" s="53"/>
      <c r="F9" s="53"/>
      <c r="G9" s="53"/>
      <c r="H9" s="53"/>
      <c r="I9" s="53"/>
      <c r="J9" s="53"/>
      <c r="K9" s="53"/>
    </row>
    <row r="10" spans="1:18" s="28" customFormat="1">
      <c r="A10" s="127"/>
    </row>
    <row r="11" spans="1:18" s="28" customFormat="1">
      <c r="A11" s="127"/>
      <c r="C11" s="28" t="s">
        <v>74</v>
      </c>
      <c r="D11" s="152">
        <v>43554</v>
      </c>
    </row>
    <row r="12" spans="1:18" s="28" customFormat="1">
      <c r="A12" s="127"/>
      <c r="C12" s="28" t="s">
        <v>9</v>
      </c>
      <c r="D12" s="152">
        <v>43921</v>
      </c>
    </row>
    <row r="13" spans="1:18" s="28" customFormat="1">
      <c r="A13" s="127"/>
      <c r="C13"/>
      <c r="D13"/>
      <c r="E13"/>
      <c r="F13"/>
      <c r="G13"/>
      <c r="H13"/>
      <c r="I13"/>
      <c r="J13"/>
      <c r="K13"/>
    </row>
    <row r="14" spans="1:18">
      <c r="C14" s="54" t="s">
        <v>22</v>
      </c>
      <c r="D14" s="54"/>
      <c r="E14" s="55"/>
      <c r="F14" s="53"/>
      <c r="G14" s="53"/>
      <c r="H14" s="53"/>
      <c r="I14" s="53"/>
      <c r="J14" s="53"/>
      <c r="K14" s="53"/>
    </row>
    <row r="15" spans="1:18">
      <c r="C15" s="15"/>
      <c r="D15" s="15"/>
      <c r="E15" s="27"/>
      <c r="G15" s="28"/>
      <c r="H15" s="28"/>
      <c r="I15" s="28"/>
      <c r="J15" s="28"/>
      <c r="K15" s="28"/>
      <c r="L15" s="28"/>
      <c r="M15" s="28"/>
    </row>
    <row r="16" spans="1:18">
      <c r="C16" s="15" t="s">
        <v>137</v>
      </c>
      <c r="D16" s="380">
        <v>165</v>
      </c>
      <c r="E16" s="24" t="s">
        <v>14</v>
      </c>
      <c r="F16" s="28"/>
      <c r="G16" s="28"/>
      <c r="H16" s="28"/>
      <c r="I16" s="28"/>
      <c r="J16" s="28"/>
      <c r="K16" s="28"/>
      <c r="L16" s="28"/>
      <c r="M16" s="28"/>
      <c r="N16" s="361"/>
      <c r="O16" s="361"/>
      <c r="P16" s="361"/>
      <c r="Q16" s="361"/>
      <c r="R16" s="361"/>
    </row>
    <row r="17" spans="3:18">
      <c r="C17" s="92" t="s">
        <v>66</v>
      </c>
      <c r="D17" s="380">
        <v>199</v>
      </c>
      <c r="F17" s="28"/>
      <c r="G17" s="28"/>
      <c r="H17" s="28"/>
      <c r="I17" s="28"/>
      <c r="J17" s="28"/>
      <c r="K17" s="28"/>
      <c r="L17" s="28"/>
      <c r="M17" s="28"/>
      <c r="N17" s="361"/>
      <c r="O17" s="361"/>
      <c r="P17" s="361"/>
      <c r="Q17" s="361"/>
      <c r="R17" s="361"/>
    </row>
    <row r="18" spans="3:18">
      <c r="C18" s="15" t="s">
        <v>138</v>
      </c>
      <c r="D18" s="93">
        <f>(D16*D17)/100</f>
        <v>328.35</v>
      </c>
      <c r="E18" s="27"/>
      <c r="F18" s="28"/>
      <c r="G18" s="28"/>
      <c r="H18" s="28"/>
      <c r="I18" s="28"/>
      <c r="J18" s="28"/>
      <c r="K18" s="28"/>
      <c r="L18" s="28"/>
      <c r="M18" s="28"/>
      <c r="N18" s="361"/>
      <c r="O18" s="361"/>
      <c r="P18" s="361"/>
      <c r="Q18" s="361"/>
      <c r="R18" s="361"/>
    </row>
    <row r="19" spans="3:18">
      <c r="C19" s="15" t="s">
        <v>139</v>
      </c>
      <c r="D19" s="373">
        <f>-'Company fin forecasts'!B35</f>
        <v>84.616813539584982</v>
      </c>
      <c r="E19" s="27"/>
      <c r="F19" s="28"/>
      <c r="G19" s="128"/>
      <c r="H19" s="28"/>
      <c r="I19" s="28"/>
      <c r="J19" s="28"/>
      <c r="K19" s="28"/>
      <c r="L19" s="28"/>
      <c r="M19" s="28"/>
      <c r="N19" s="361"/>
      <c r="O19" s="361"/>
      <c r="P19" s="361"/>
      <c r="Q19" s="361"/>
      <c r="R19" s="361"/>
    </row>
    <row r="20" spans="3:18">
      <c r="C20" s="15" t="s">
        <v>140</v>
      </c>
      <c r="D20" s="153">
        <v>0</v>
      </c>
      <c r="E20" s="27"/>
      <c r="F20" s="28"/>
      <c r="G20" s="28"/>
      <c r="H20" s="28"/>
      <c r="I20" s="28"/>
      <c r="J20" s="28"/>
      <c r="K20" s="28"/>
      <c r="L20" s="28"/>
      <c r="M20" s="28"/>
      <c r="N20" s="361"/>
      <c r="O20" s="361"/>
      <c r="P20" s="361"/>
      <c r="Q20" s="361"/>
      <c r="R20" s="361"/>
    </row>
    <row r="21" spans="3:18">
      <c r="C21" s="15" t="s">
        <v>141</v>
      </c>
      <c r="D21" s="153">
        <v>0</v>
      </c>
      <c r="E21" s="27"/>
      <c r="F21" s="28"/>
      <c r="G21" s="28"/>
      <c r="H21" s="28"/>
      <c r="I21" s="28"/>
      <c r="J21" s="28"/>
      <c r="K21" s="28"/>
      <c r="L21" s="28"/>
      <c r="M21" s="28"/>
      <c r="N21" s="361"/>
      <c r="O21" s="361"/>
      <c r="P21" s="361"/>
      <c r="Q21" s="361"/>
      <c r="R21" s="361"/>
    </row>
    <row r="22" spans="3:18">
      <c r="C22" s="15" t="s">
        <v>142</v>
      </c>
      <c r="D22" s="153">
        <v>0</v>
      </c>
      <c r="E22" s="35"/>
      <c r="F22" s="28"/>
      <c r="G22" s="28"/>
      <c r="H22" s="28"/>
      <c r="I22" s="28"/>
      <c r="J22" s="28"/>
      <c r="K22" s="28"/>
      <c r="L22" s="28"/>
      <c r="M22" s="28"/>
      <c r="N22" s="361"/>
      <c r="O22" s="361"/>
      <c r="P22" s="361"/>
      <c r="Q22" s="361"/>
      <c r="R22" s="361"/>
    </row>
    <row r="23" spans="3:18">
      <c r="C23" s="15"/>
      <c r="D23" s="12"/>
      <c r="E23" s="5"/>
      <c r="F23" s="28"/>
      <c r="G23" s="28"/>
      <c r="H23" s="28"/>
      <c r="I23" s="28"/>
      <c r="J23" s="28"/>
      <c r="K23" s="28"/>
      <c r="L23" s="28"/>
      <c r="M23" s="28"/>
      <c r="N23" s="361"/>
      <c r="O23" s="361"/>
      <c r="P23" s="361"/>
      <c r="Q23" s="361"/>
      <c r="R23" s="361"/>
    </row>
    <row r="24" spans="3:18">
      <c r="C24" s="174" t="s">
        <v>169</v>
      </c>
      <c r="D24" s="173">
        <f>D18+D19+D20+D21+D22</f>
        <v>412.96681353958502</v>
      </c>
      <c r="E24" s="5"/>
      <c r="F24" s="157"/>
      <c r="G24" s="157"/>
      <c r="H24" s="28"/>
      <c r="I24" s="28"/>
      <c r="J24" s="28"/>
      <c r="K24" s="28"/>
      <c r="L24" s="28"/>
      <c r="M24" s="28"/>
      <c r="N24" s="361"/>
      <c r="O24" s="361"/>
      <c r="P24" s="361"/>
      <c r="Q24" s="361"/>
      <c r="R24" s="361"/>
    </row>
    <row r="25" spans="3:18">
      <c r="F25" s="28"/>
      <c r="G25" s="28"/>
      <c r="H25" s="28"/>
      <c r="I25" s="28"/>
      <c r="J25" s="28"/>
      <c r="K25" s="28"/>
      <c r="L25" s="28"/>
      <c r="M25" s="28"/>
      <c r="N25" s="361"/>
      <c r="O25" s="361"/>
      <c r="P25" s="361"/>
      <c r="Q25" s="361"/>
      <c r="R25" s="361"/>
    </row>
    <row r="26" spans="3:18">
      <c r="D26" s="45"/>
      <c r="E26" s="45"/>
      <c r="H26" s="45"/>
      <c r="I26" s="45"/>
    </row>
    <row r="27" spans="3:18">
      <c r="D27" s="45"/>
      <c r="E27" s="45"/>
      <c r="H27" s="45"/>
      <c r="I27" s="45"/>
    </row>
    <row r="28" spans="3:18">
      <c r="D28" s="45"/>
      <c r="E28" s="45"/>
      <c r="H28" s="45"/>
      <c r="I28" s="45"/>
    </row>
    <row r="29" spans="3:18">
      <c r="D29" s="45"/>
      <c r="E29" s="45"/>
      <c r="H29" s="45"/>
      <c r="I29" s="45"/>
    </row>
    <row r="30" spans="3:18">
      <c r="D30" s="45"/>
      <c r="E30" s="45"/>
      <c r="H30" s="45"/>
      <c r="I30" s="45"/>
    </row>
    <row r="31" spans="3:18">
      <c r="D31" s="45"/>
      <c r="E31" s="45"/>
      <c r="H31" s="45"/>
      <c r="I31" s="45"/>
    </row>
    <row r="32" spans="3:18">
      <c r="D32" s="45"/>
      <c r="E32" s="45"/>
      <c r="H32" s="45"/>
      <c r="I32" s="45"/>
    </row>
    <row r="33" spans="4:9">
      <c r="D33" s="45"/>
      <c r="E33" s="45"/>
      <c r="H33" s="45"/>
      <c r="I33" s="45"/>
    </row>
    <row r="34" spans="4:9">
      <c r="D34" s="45"/>
      <c r="E34" s="45"/>
      <c r="H34" s="45"/>
      <c r="I34" s="45"/>
    </row>
    <row r="35" spans="4:9">
      <c r="D35" s="45"/>
      <c r="E35" s="45"/>
      <c r="H35" s="45"/>
      <c r="I35" s="45"/>
    </row>
    <row r="36" spans="4:9">
      <c r="D36" s="45"/>
      <c r="E36" s="45"/>
      <c r="H36" s="45"/>
      <c r="I36" s="45"/>
    </row>
    <row r="37" spans="4:9">
      <c r="D37" s="45"/>
      <c r="E37" s="45"/>
      <c r="H37" s="45"/>
      <c r="I37" s="45"/>
    </row>
    <row r="38" spans="4:9">
      <c r="D38" s="45"/>
      <c r="E38" s="45"/>
      <c r="H38" s="45"/>
      <c r="I38" s="45"/>
    </row>
    <row r="39" spans="4:9">
      <c r="D39" s="45"/>
      <c r="E39" s="45"/>
      <c r="H39" s="45"/>
      <c r="I39" s="45"/>
    </row>
    <row r="40" spans="4:9">
      <c r="D40" s="45"/>
      <c r="E40" s="45"/>
      <c r="H40" s="45"/>
      <c r="I40" s="45"/>
    </row>
    <row r="41" spans="4:9">
      <c r="D41" s="45"/>
      <c r="E41" s="45"/>
      <c r="H41" s="45"/>
      <c r="I41" s="45"/>
    </row>
    <row r="42" spans="4:9">
      <c r="D42" s="45"/>
      <c r="E42" s="45"/>
      <c r="H42" s="45"/>
      <c r="I42" s="45"/>
    </row>
    <row r="43" spans="4:9">
      <c r="D43" s="45"/>
      <c r="E43" s="45"/>
      <c r="H43" s="45"/>
      <c r="I43" s="45"/>
    </row>
    <row r="44" spans="4:9">
      <c r="D44" s="45"/>
      <c r="E44" s="45"/>
      <c r="H44" s="45"/>
      <c r="I44" s="45"/>
    </row>
    <row r="45" spans="4:9">
      <c r="D45" s="45"/>
      <c r="E45" s="45"/>
      <c r="H45" s="45"/>
      <c r="I45" s="45"/>
    </row>
    <row r="46" spans="4:9">
      <c r="D46" s="45"/>
      <c r="E46" s="45"/>
      <c r="H46" s="45"/>
      <c r="I46" s="45"/>
    </row>
    <row r="47" spans="4:9">
      <c r="D47" s="45"/>
      <c r="E47" s="45"/>
      <c r="H47" s="45"/>
      <c r="I47" s="45"/>
    </row>
    <row r="48" spans="4:9">
      <c r="D48" s="45"/>
      <c r="E48" s="45"/>
      <c r="H48" s="45"/>
      <c r="I48" s="45"/>
    </row>
    <row r="49" spans="4:9">
      <c r="D49" s="45"/>
      <c r="E49" s="45"/>
      <c r="H49" s="45"/>
      <c r="I49" s="45"/>
    </row>
    <row r="50" spans="4:9">
      <c r="D50" s="45"/>
      <c r="E50" s="45"/>
      <c r="H50" s="45"/>
      <c r="I50" s="45"/>
    </row>
    <row r="51" spans="4:9">
      <c r="D51" s="45"/>
      <c r="E51" s="45"/>
      <c r="H51" s="45"/>
      <c r="I51" s="45"/>
    </row>
    <row r="52" spans="4:9">
      <c r="D52" s="45"/>
      <c r="E52" s="45"/>
      <c r="H52" s="45"/>
      <c r="I52" s="45"/>
    </row>
    <row r="53" spans="4:9">
      <c r="D53" s="45"/>
      <c r="E53" s="45"/>
      <c r="H53" s="45"/>
      <c r="I53" s="45"/>
    </row>
    <row r="54" spans="4:9">
      <c r="D54" s="45"/>
      <c r="E54" s="45"/>
      <c r="H54" s="45"/>
      <c r="I54" s="45"/>
    </row>
    <row r="55" spans="4:9">
      <c r="D55" s="45"/>
      <c r="E55" s="45"/>
      <c r="H55" s="45"/>
      <c r="I55" s="45"/>
    </row>
    <row r="56" spans="4:9">
      <c r="D56" s="45"/>
      <c r="E56" s="45"/>
      <c r="H56" s="45"/>
      <c r="I56" s="45"/>
    </row>
    <row r="57" spans="4:9">
      <c r="D57" s="45"/>
      <c r="E57" s="45"/>
      <c r="H57" s="45"/>
      <c r="I57" s="45"/>
    </row>
    <row r="58" spans="4:9">
      <c r="D58" s="45"/>
      <c r="E58" s="45"/>
      <c r="H58" s="45"/>
      <c r="I58" s="45"/>
    </row>
    <row r="59" spans="4:9">
      <c r="D59" s="45"/>
      <c r="E59" s="45"/>
      <c r="H59" s="45"/>
      <c r="I59" s="45"/>
    </row>
    <row r="60" spans="4:9">
      <c r="D60" s="45"/>
      <c r="E60" s="45"/>
      <c r="H60" s="45"/>
      <c r="I60" s="45"/>
    </row>
    <row r="61" spans="4:9">
      <c r="D61" s="45"/>
      <c r="E61" s="45"/>
      <c r="H61" s="45"/>
      <c r="I61" s="45"/>
    </row>
    <row r="62" spans="4:9">
      <c r="D62" s="45"/>
      <c r="E62" s="45"/>
      <c r="H62" s="45"/>
      <c r="I62" s="45"/>
    </row>
    <row r="63" spans="4:9">
      <c r="D63" s="45"/>
      <c r="E63" s="45"/>
      <c r="H63" s="45"/>
      <c r="I63" s="45"/>
    </row>
    <row r="64" spans="4:9">
      <c r="D64" s="45"/>
      <c r="E64" s="45"/>
      <c r="H64" s="45"/>
      <c r="I64" s="45"/>
    </row>
    <row r="65" spans="4:9">
      <c r="D65" s="45"/>
      <c r="E65" s="45"/>
      <c r="H65" s="45"/>
      <c r="I65" s="45"/>
    </row>
    <row r="66" spans="4:9">
      <c r="D66" s="45"/>
      <c r="E66" s="45"/>
      <c r="H66" s="45"/>
      <c r="I66" s="45"/>
    </row>
    <row r="67" spans="4:9">
      <c r="D67" s="45"/>
      <c r="E67" s="45"/>
      <c r="H67" s="45"/>
      <c r="I67" s="45"/>
    </row>
    <row r="68" spans="4:9">
      <c r="D68" s="45"/>
      <c r="E68" s="45"/>
      <c r="H68" s="45"/>
      <c r="I68" s="45"/>
    </row>
    <row r="69" spans="4:9">
      <c r="D69" s="45"/>
      <c r="E69" s="45"/>
      <c r="H69" s="45"/>
      <c r="I69" s="45"/>
    </row>
    <row r="70" spans="4:9">
      <c r="D70" s="45"/>
      <c r="E70" s="45"/>
      <c r="H70" s="45"/>
      <c r="I70" s="45"/>
    </row>
    <row r="71" spans="4:9">
      <c r="D71" s="45"/>
      <c r="E71" s="45"/>
      <c r="H71" s="45"/>
      <c r="I71" s="45"/>
    </row>
    <row r="72" spans="4:9">
      <c r="D72" s="45"/>
      <c r="E72" s="45"/>
      <c r="H72" s="45"/>
      <c r="I72" s="45"/>
    </row>
    <row r="73" spans="4:9">
      <c r="D73" s="45"/>
      <c r="E73" s="45"/>
      <c r="H73" s="45"/>
      <c r="I73" s="45"/>
    </row>
    <row r="74" spans="4:9">
      <c r="D74" s="45"/>
      <c r="E74" s="45"/>
      <c r="H74" s="45"/>
      <c r="I74" s="45"/>
    </row>
    <row r="75" spans="4:9">
      <c r="D75" s="45"/>
      <c r="E75" s="45"/>
      <c r="H75" s="45"/>
      <c r="I75" s="45"/>
    </row>
    <row r="76" spans="4:9">
      <c r="D76" s="45"/>
      <c r="E76" s="45"/>
      <c r="H76" s="45"/>
      <c r="I76" s="45"/>
    </row>
    <row r="77" spans="4:9">
      <c r="D77" s="45"/>
      <c r="E77" s="45"/>
      <c r="H77" s="45"/>
      <c r="I77" s="45"/>
    </row>
    <row r="78" spans="4:9">
      <c r="D78" s="45"/>
      <c r="E78" s="45"/>
      <c r="H78" s="45"/>
      <c r="I78" s="45"/>
    </row>
    <row r="79" spans="4:9">
      <c r="D79" s="45"/>
      <c r="E79" s="45"/>
      <c r="H79" s="45"/>
      <c r="I79" s="45"/>
    </row>
    <row r="80" spans="4:9">
      <c r="D80" s="45"/>
      <c r="E80" s="45"/>
      <c r="H80" s="45"/>
      <c r="I80" s="45"/>
    </row>
    <row r="81" spans="4:9">
      <c r="D81" s="45"/>
      <c r="E81" s="45"/>
      <c r="H81" s="45"/>
      <c r="I81" s="45"/>
    </row>
    <row r="82" spans="4:9">
      <c r="D82" s="45"/>
      <c r="E82" s="45"/>
      <c r="H82" s="45"/>
      <c r="I82" s="45"/>
    </row>
    <row r="83" spans="4:9">
      <c r="D83" s="45"/>
      <c r="E83" s="45"/>
      <c r="H83" s="45"/>
      <c r="I83" s="45"/>
    </row>
    <row r="84" spans="4:9">
      <c r="D84" s="45"/>
      <c r="E84" s="45"/>
      <c r="H84" s="45"/>
      <c r="I84" s="45"/>
    </row>
    <row r="85" spans="4:9">
      <c r="D85" s="45"/>
      <c r="E85" s="45"/>
      <c r="H85" s="45"/>
      <c r="I85" s="45"/>
    </row>
    <row r="86" spans="4:9">
      <c r="D86" s="45"/>
      <c r="E86" s="45"/>
      <c r="H86" s="45"/>
      <c r="I86" s="45"/>
    </row>
    <row r="87" spans="4:9">
      <c r="D87" s="45"/>
      <c r="E87" s="45"/>
      <c r="H87" s="45"/>
      <c r="I87" s="45"/>
    </row>
    <row r="88" spans="4:9">
      <c r="D88" s="45"/>
      <c r="E88" s="45"/>
      <c r="H88" s="45"/>
      <c r="I88" s="45"/>
    </row>
    <row r="89" spans="4:9">
      <c r="D89" s="45"/>
      <c r="E89" s="45"/>
      <c r="H89" s="45"/>
      <c r="I89" s="45"/>
    </row>
    <row r="90" spans="4:9">
      <c r="D90" s="45"/>
      <c r="E90" s="45"/>
      <c r="H90" s="45"/>
      <c r="I90" s="45"/>
    </row>
    <row r="91" spans="4:9">
      <c r="D91" s="45"/>
      <c r="E91" s="45"/>
      <c r="H91" s="45"/>
      <c r="I91" s="45"/>
    </row>
    <row r="92" spans="4:9">
      <c r="D92" s="45"/>
      <c r="E92" s="45"/>
      <c r="H92" s="45"/>
      <c r="I92" s="45"/>
    </row>
    <row r="93" spans="4:9">
      <c r="D93" s="45"/>
      <c r="E93" s="45"/>
      <c r="H93" s="45"/>
      <c r="I93" s="45"/>
    </row>
    <row r="94" spans="4:9">
      <c r="D94" s="45"/>
      <c r="E94" s="45"/>
      <c r="H94" s="45"/>
      <c r="I94" s="45"/>
    </row>
    <row r="95" spans="4:9">
      <c r="D95" s="45"/>
      <c r="E95" s="45"/>
      <c r="H95" s="45"/>
      <c r="I95" s="45"/>
    </row>
    <row r="96" spans="4:9">
      <c r="D96" s="45"/>
      <c r="E96" s="45"/>
      <c r="H96" s="45"/>
      <c r="I96" s="45"/>
    </row>
    <row r="97" spans="4:9">
      <c r="D97" s="45"/>
      <c r="E97" s="45"/>
      <c r="H97" s="45"/>
      <c r="I97" s="45"/>
    </row>
    <row r="98" spans="4:9">
      <c r="D98" s="45"/>
      <c r="E98" s="45"/>
      <c r="H98" s="45"/>
      <c r="I98" s="45"/>
    </row>
    <row r="99" spans="4:9">
      <c r="D99" s="45"/>
      <c r="E99" s="45"/>
      <c r="H99" s="45"/>
      <c r="I99" s="45"/>
    </row>
    <row r="100" spans="4:9">
      <c r="D100" s="45"/>
      <c r="E100" s="45"/>
      <c r="H100" s="45"/>
      <c r="I100" s="45"/>
    </row>
    <row r="101" spans="4:9">
      <c r="D101" s="45"/>
      <c r="E101" s="45"/>
      <c r="H101" s="45"/>
      <c r="I101" s="45"/>
    </row>
    <row r="102" spans="4:9">
      <c r="D102" s="45"/>
      <c r="E102" s="45"/>
      <c r="H102" s="45"/>
      <c r="I102" s="45"/>
    </row>
    <row r="103" spans="4:9">
      <c r="D103" s="45"/>
      <c r="E103" s="45"/>
      <c r="H103" s="45"/>
      <c r="I103" s="45"/>
    </row>
    <row r="104" spans="4:9">
      <c r="D104" s="45"/>
      <c r="E104" s="45"/>
      <c r="H104" s="45"/>
      <c r="I104" s="45"/>
    </row>
    <row r="105" spans="4:9">
      <c r="D105" s="45"/>
      <c r="E105" s="45"/>
      <c r="H105" s="45"/>
      <c r="I105" s="45"/>
    </row>
    <row r="106" spans="4:9">
      <c r="D106" s="45"/>
      <c r="E106" s="45"/>
      <c r="H106" s="45"/>
      <c r="I106" s="45"/>
    </row>
    <row r="107" spans="4:9">
      <c r="D107" s="45"/>
      <c r="E107" s="45"/>
      <c r="H107" s="45"/>
      <c r="I107" s="45"/>
    </row>
    <row r="108" spans="4:9">
      <c r="D108" s="45"/>
      <c r="E108" s="45"/>
      <c r="H108" s="45"/>
      <c r="I108" s="45"/>
    </row>
    <row r="109" spans="4:9">
      <c r="D109" s="45"/>
      <c r="E109" s="45"/>
      <c r="H109" s="45"/>
      <c r="I109" s="45"/>
    </row>
    <row r="110" spans="4:9">
      <c r="D110" s="45"/>
      <c r="E110" s="45"/>
      <c r="H110" s="45"/>
      <c r="I110" s="45"/>
    </row>
    <row r="111" spans="4:9">
      <c r="D111" s="45"/>
      <c r="E111" s="45"/>
      <c r="H111" s="45"/>
      <c r="I111" s="45"/>
    </row>
    <row r="112" spans="4:9">
      <c r="D112" s="45"/>
      <c r="E112" s="45"/>
      <c r="H112" s="45"/>
      <c r="I112" s="45"/>
    </row>
    <row r="113" spans="4:9">
      <c r="D113" s="45"/>
      <c r="E113" s="45"/>
      <c r="H113" s="45"/>
      <c r="I113" s="45"/>
    </row>
    <row r="114" spans="4:9">
      <c r="D114" s="45"/>
      <c r="E114" s="45"/>
      <c r="H114" s="45"/>
      <c r="I114" s="45"/>
    </row>
    <row r="115" spans="4:9">
      <c r="D115" s="45"/>
      <c r="E115" s="45"/>
      <c r="H115" s="45"/>
      <c r="I115" s="45"/>
    </row>
    <row r="116" spans="4:9">
      <c r="D116" s="45"/>
      <c r="E116" s="45"/>
      <c r="H116" s="45"/>
      <c r="I116" s="45"/>
    </row>
    <row r="117" spans="4:9">
      <c r="D117" s="45"/>
      <c r="H117" s="45"/>
    </row>
    <row r="118" spans="4:9">
      <c r="D118" s="46"/>
      <c r="H118" s="46"/>
    </row>
    <row r="119" spans="4:9">
      <c r="D119" s="46"/>
      <c r="H119" s="46"/>
    </row>
    <row r="120" spans="4:9">
      <c r="D120" s="46"/>
      <c r="H120" s="46"/>
    </row>
    <row r="121" spans="4:9">
      <c r="D121" s="46"/>
      <c r="H121" s="46"/>
    </row>
    <row r="122" spans="4:9">
      <c r="D122" s="46"/>
      <c r="H122" s="46"/>
    </row>
    <row r="123" spans="4:9">
      <c r="D123" s="46"/>
      <c r="H123" s="46"/>
    </row>
    <row r="124" spans="4:9">
      <c r="D124" s="46"/>
      <c r="H124" s="46"/>
    </row>
    <row r="125" spans="4:9">
      <c r="D125" s="46"/>
      <c r="H125" s="46"/>
    </row>
    <row r="126" spans="4:9">
      <c r="D126" s="46"/>
      <c r="H126" s="46"/>
    </row>
    <row r="127" spans="4:9">
      <c r="D127" s="46"/>
      <c r="H127" s="46"/>
    </row>
    <row r="128" spans="4:9">
      <c r="D128" s="46"/>
      <c r="H128" s="46"/>
    </row>
    <row r="129" spans="4:8">
      <c r="D129" s="46"/>
      <c r="H129" s="46"/>
    </row>
    <row r="130" spans="4:8">
      <c r="D130" s="46"/>
      <c r="H130" s="46"/>
    </row>
    <row r="131" spans="4:8">
      <c r="D131" s="46"/>
      <c r="H131" s="46"/>
    </row>
    <row r="132" spans="4:8">
      <c r="D132" s="46"/>
      <c r="H132" s="46"/>
    </row>
    <row r="133" spans="4:8">
      <c r="D133" s="46"/>
      <c r="H133" s="46"/>
    </row>
    <row r="134" spans="4:8">
      <c r="D134" s="46"/>
      <c r="H134" s="46"/>
    </row>
    <row r="135" spans="4:8">
      <c r="D135" s="46"/>
      <c r="H135" s="46"/>
    </row>
    <row r="136" spans="4:8">
      <c r="D136" s="46"/>
      <c r="H136" s="46"/>
    </row>
    <row r="137" spans="4:8">
      <c r="D137" s="46"/>
      <c r="H137" s="46"/>
    </row>
    <row r="138" spans="4:8">
      <c r="D138" s="46"/>
      <c r="H138" s="46"/>
    </row>
    <row r="139" spans="4:8">
      <c r="D139" s="46"/>
      <c r="H139" s="46"/>
    </row>
    <row r="140" spans="4:8">
      <c r="D140" s="46"/>
      <c r="H140" s="46"/>
    </row>
    <row r="141" spans="4:8">
      <c r="D141" s="46"/>
      <c r="H141" s="46"/>
    </row>
    <row r="142" spans="4:8">
      <c r="D142" s="46"/>
      <c r="H142" s="46"/>
    </row>
    <row r="143" spans="4:8">
      <c r="D143" s="46"/>
      <c r="H143" s="46"/>
    </row>
    <row r="144" spans="4:8">
      <c r="D144" s="46"/>
      <c r="H144" s="46"/>
    </row>
    <row r="145" spans="4:8">
      <c r="D145" s="46"/>
      <c r="H145" s="46"/>
    </row>
    <row r="146" spans="4:8">
      <c r="D146" s="46"/>
      <c r="H146" s="46"/>
    </row>
    <row r="147" spans="4:8">
      <c r="D147" s="46"/>
      <c r="H147" s="46"/>
    </row>
    <row r="148" spans="4:8">
      <c r="D148" s="46"/>
      <c r="H148" s="46"/>
    </row>
    <row r="149" spans="4:8">
      <c r="D149" s="46"/>
      <c r="H149" s="46"/>
    </row>
    <row r="150" spans="4:8">
      <c r="D150" s="46"/>
      <c r="H150" s="46"/>
    </row>
    <row r="151" spans="4:8">
      <c r="D151" s="46"/>
      <c r="H151" s="46"/>
    </row>
    <row r="152" spans="4:8">
      <c r="D152" s="46"/>
      <c r="H152" s="46"/>
    </row>
    <row r="153" spans="4:8">
      <c r="D153" s="46"/>
      <c r="H153" s="46"/>
    </row>
    <row r="154" spans="4:8">
      <c r="D154" s="46"/>
      <c r="H154" s="46"/>
    </row>
    <row r="155" spans="4:8">
      <c r="D155" s="46"/>
      <c r="H155" s="46"/>
    </row>
    <row r="156" spans="4:8">
      <c r="D156" s="46"/>
      <c r="H156" s="46"/>
    </row>
    <row r="157" spans="4:8">
      <c r="D157" s="46"/>
      <c r="H157" s="46"/>
    </row>
    <row r="158" spans="4:8">
      <c r="D158" s="46"/>
      <c r="H158" s="46"/>
    </row>
    <row r="159" spans="4:8">
      <c r="D159" s="46"/>
      <c r="H159" s="46"/>
    </row>
    <row r="160" spans="4:8">
      <c r="D160" s="46"/>
      <c r="H160" s="46"/>
    </row>
    <row r="161" spans="4:8">
      <c r="D161" s="46"/>
      <c r="H161" s="46"/>
    </row>
    <row r="162" spans="4:8">
      <c r="D162" s="46"/>
      <c r="H162" s="46"/>
    </row>
    <row r="163" spans="4:8">
      <c r="D163" s="46"/>
      <c r="H163" s="46"/>
    </row>
    <row r="164" spans="4:8">
      <c r="D164" s="46"/>
      <c r="H164" s="46"/>
    </row>
    <row r="165" spans="4:8">
      <c r="D165" s="46"/>
      <c r="H165" s="46"/>
    </row>
    <row r="166" spans="4:8">
      <c r="D166" s="46"/>
      <c r="H166" s="46"/>
    </row>
    <row r="167" spans="4:8">
      <c r="D167" s="46"/>
      <c r="H167" s="46"/>
    </row>
    <row r="168" spans="4:8">
      <c r="D168" s="46"/>
      <c r="H168" s="46"/>
    </row>
    <row r="169" spans="4:8">
      <c r="D169" s="46"/>
      <c r="H169" s="46"/>
    </row>
    <row r="170" spans="4:8">
      <c r="D170" s="46"/>
      <c r="H170" s="46"/>
    </row>
    <row r="171" spans="4:8">
      <c r="D171" s="46"/>
      <c r="H171" s="46"/>
    </row>
    <row r="172" spans="4:8">
      <c r="D172" s="46"/>
      <c r="H172" s="46"/>
    </row>
    <row r="173" spans="4:8">
      <c r="D173" s="46"/>
      <c r="H173" s="46"/>
    </row>
    <row r="174" spans="4:8">
      <c r="D174" s="46"/>
      <c r="H174" s="46"/>
    </row>
    <row r="175" spans="4:8">
      <c r="D175" s="46"/>
      <c r="H175" s="46"/>
    </row>
    <row r="176" spans="4:8">
      <c r="D176" s="46"/>
      <c r="H176" s="46"/>
    </row>
    <row r="177" spans="4:8">
      <c r="D177" s="46"/>
      <c r="H177" s="46"/>
    </row>
    <row r="178" spans="4:8">
      <c r="D178" s="46"/>
      <c r="H178" s="46"/>
    </row>
    <row r="179" spans="4:8">
      <c r="D179" s="46"/>
      <c r="H179" s="46"/>
    </row>
    <row r="180" spans="4:8">
      <c r="D180" s="46"/>
      <c r="H180" s="46"/>
    </row>
    <row r="181" spans="4:8">
      <c r="D181" s="46"/>
      <c r="H181" s="46"/>
    </row>
    <row r="182" spans="4:8">
      <c r="D182" s="46"/>
      <c r="H182" s="46"/>
    </row>
    <row r="183" spans="4:8">
      <c r="D183" s="46"/>
      <c r="H183" s="46"/>
    </row>
    <row r="184" spans="4:8">
      <c r="D184" s="46"/>
      <c r="H184" s="46"/>
    </row>
    <row r="185" spans="4:8">
      <c r="D185" s="46"/>
      <c r="H185" s="46"/>
    </row>
    <row r="186" spans="4:8">
      <c r="D186" s="46"/>
      <c r="H186" s="46"/>
    </row>
    <row r="187" spans="4:8">
      <c r="D187" s="46"/>
      <c r="H187" s="46"/>
    </row>
    <row r="188" spans="4:8">
      <c r="D188" s="46"/>
      <c r="H188" s="46"/>
    </row>
    <row r="189" spans="4:8">
      <c r="D189" s="46"/>
      <c r="H189" s="46"/>
    </row>
    <row r="190" spans="4:8">
      <c r="D190" s="46"/>
      <c r="H190" s="46"/>
    </row>
    <row r="191" spans="4:8">
      <c r="D191" s="46"/>
      <c r="H191" s="46"/>
    </row>
    <row r="192" spans="4:8">
      <c r="D192" s="46"/>
      <c r="H192" s="46"/>
    </row>
    <row r="193" spans="4:8">
      <c r="D193" s="46"/>
      <c r="H193" s="46"/>
    </row>
    <row r="194" spans="4:8">
      <c r="D194" s="46"/>
      <c r="H194" s="46"/>
    </row>
    <row r="195" spans="4:8">
      <c r="D195" s="46"/>
      <c r="H195" s="46"/>
    </row>
    <row r="196" spans="4:8">
      <c r="D196" s="46"/>
      <c r="H196" s="46"/>
    </row>
    <row r="197" spans="4:8">
      <c r="D197" s="46"/>
      <c r="H197" s="46"/>
    </row>
    <row r="198" spans="4:8">
      <c r="D198" s="46"/>
      <c r="H198" s="46"/>
    </row>
    <row r="199" spans="4:8">
      <c r="D199" s="46"/>
      <c r="H199" s="46"/>
    </row>
    <row r="200" spans="4:8">
      <c r="D200" s="46"/>
      <c r="H200" s="46"/>
    </row>
    <row r="201" spans="4:8">
      <c r="D201" s="46"/>
      <c r="H201" s="46"/>
    </row>
    <row r="202" spans="4:8">
      <c r="D202" s="46"/>
      <c r="H202" s="46"/>
    </row>
    <row r="203" spans="4:8">
      <c r="D203" s="46"/>
      <c r="H203" s="46"/>
    </row>
    <row r="204" spans="4:8">
      <c r="D204" s="46"/>
      <c r="H204" s="46"/>
    </row>
    <row r="205" spans="4:8">
      <c r="D205" s="46"/>
      <c r="H205" s="46"/>
    </row>
    <row r="206" spans="4:8">
      <c r="D206" s="46"/>
      <c r="H206" s="46"/>
    </row>
    <row r="207" spans="4:8">
      <c r="D207" s="46"/>
      <c r="H207" s="46"/>
    </row>
    <row r="208" spans="4:8">
      <c r="D208" s="46"/>
      <c r="H208" s="46"/>
    </row>
    <row r="209" spans="4:8">
      <c r="D209" s="46"/>
      <c r="H209" s="46"/>
    </row>
    <row r="210" spans="4:8">
      <c r="D210" s="46"/>
      <c r="H210" s="46"/>
    </row>
    <row r="211" spans="4:8">
      <c r="D211" s="46"/>
      <c r="H211" s="46"/>
    </row>
    <row r="212" spans="4:8">
      <c r="D212" s="46"/>
      <c r="H212" s="46"/>
    </row>
    <row r="213" spans="4:8">
      <c r="D213" s="46"/>
      <c r="H213" s="46"/>
    </row>
    <row r="214" spans="4:8">
      <c r="D214" s="46"/>
      <c r="H214" s="46"/>
    </row>
    <row r="215" spans="4:8">
      <c r="D215" s="46"/>
      <c r="H215" s="46"/>
    </row>
    <row r="216" spans="4:8">
      <c r="D216" s="46"/>
      <c r="H216" s="46"/>
    </row>
    <row r="217" spans="4:8">
      <c r="D217" s="46"/>
      <c r="H217" s="46"/>
    </row>
    <row r="218" spans="4:8">
      <c r="D218" s="46"/>
      <c r="H218" s="46"/>
    </row>
    <row r="219" spans="4:8">
      <c r="D219" s="46"/>
      <c r="H219" s="46"/>
    </row>
    <row r="220" spans="4:8">
      <c r="D220" s="46"/>
      <c r="H220" s="46"/>
    </row>
    <row r="221" spans="4:8">
      <c r="D221" s="46"/>
      <c r="H221" s="46"/>
    </row>
    <row r="222" spans="4:8">
      <c r="D222" s="46"/>
      <c r="H222" s="46"/>
    </row>
    <row r="223" spans="4:8">
      <c r="D223" s="46"/>
      <c r="H223" s="46"/>
    </row>
    <row r="224" spans="4:8">
      <c r="D224" s="46"/>
      <c r="H224" s="46"/>
    </row>
    <row r="225" spans="4:8">
      <c r="D225" s="46"/>
      <c r="H225" s="46"/>
    </row>
    <row r="226" spans="4:8">
      <c r="D226" s="46"/>
      <c r="H226" s="46"/>
    </row>
    <row r="227" spans="4:8">
      <c r="D227" s="46"/>
      <c r="H227" s="46"/>
    </row>
    <row r="228" spans="4:8">
      <c r="D228" s="46"/>
      <c r="H228" s="46"/>
    </row>
    <row r="229" spans="4:8">
      <c r="D229" s="46"/>
      <c r="H229" s="46"/>
    </row>
    <row r="230" spans="4:8">
      <c r="D230" s="46"/>
      <c r="H230" s="46"/>
    </row>
    <row r="231" spans="4:8">
      <c r="D231" s="46"/>
      <c r="H231" s="46"/>
    </row>
    <row r="232" spans="4:8">
      <c r="D232" s="46"/>
      <c r="H232" s="46"/>
    </row>
    <row r="233" spans="4:8">
      <c r="D233" s="46"/>
      <c r="H233" s="46"/>
    </row>
    <row r="234" spans="4:8">
      <c r="D234" s="46"/>
      <c r="H234" s="46"/>
    </row>
    <row r="235" spans="4:8">
      <c r="D235" s="46"/>
      <c r="H235" s="46"/>
    </row>
    <row r="236" spans="4:8">
      <c r="D236" s="46"/>
      <c r="H236" s="46"/>
    </row>
    <row r="237" spans="4:8">
      <c r="D237" s="46"/>
      <c r="H237" s="46"/>
    </row>
    <row r="238" spans="4:8">
      <c r="D238" s="46"/>
      <c r="H238" s="46"/>
    </row>
    <row r="239" spans="4:8">
      <c r="D239" s="46"/>
      <c r="H239" s="46"/>
    </row>
    <row r="240" spans="4:8">
      <c r="D240" s="46"/>
      <c r="H240" s="46"/>
    </row>
    <row r="241" spans="4:8">
      <c r="D241" s="46"/>
      <c r="H241" s="46"/>
    </row>
    <row r="242" spans="4:8">
      <c r="D242" s="46"/>
      <c r="H242" s="46"/>
    </row>
    <row r="243" spans="4:8">
      <c r="D243" s="46"/>
      <c r="H243" s="46"/>
    </row>
    <row r="244" spans="4:8">
      <c r="D244" s="46"/>
      <c r="H244" s="46"/>
    </row>
    <row r="245" spans="4:8">
      <c r="D245" s="46"/>
      <c r="H245" s="46"/>
    </row>
    <row r="246" spans="4:8">
      <c r="D246" s="46"/>
      <c r="H246" s="46"/>
    </row>
    <row r="247" spans="4:8">
      <c r="D247" s="46"/>
      <c r="H247" s="46"/>
    </row>
    <row r="248" spans="4:8">
      <c r="D248" s="46"/>
      <c r="H248" s="46"/>
    </row>
    <row r="249" spans="4:8">
      <c r="D249" s="46"/>
      <c r="H249" s="46"/>
    </row>
    <row r="250" spans="4:8">
      <c r="D250" s="46"/>
      <c r="H250" s="46"/>
    </row>
    <row r="251" spans="4:8">
      <c r="D251" s="46"/>
      <c r="H251" s="46"/>
    </row>
    <row r="252" spans="4:8">
      <c r="D252" s="46"/>
      <c r="H252" s="46"/>
    </row>
    <row r="253" spans="4:8">
      <c r="D253" s="46"/>
      <c r="H253" s="46"/>
    </row>
    <row r="254" spans="4:8">
      <c r="D254" s="46"/>
      <c r="H254" s="46"/>
    </row>
    <row r="255" spans="4:8">
      <c r="D255" s="46"/>
      <c r="H255" s="46"/>
    </row>
    <row r="256" spans="4:8">
      <c r="D256" s="46"/>
      <c r="H256" s="46"/>
    </row>
    <row r="257" spans="4:8">
      <c r="D257" s="46"/>
      <c r="H257" s="46"/>
    </row>
    <row r="258" spans="4:8">
      <c r="D258" s="46"/>
      <c r="H258" s="46"/>
    </row>
    <row r="259" spans="4:8">
      <c r="D259" s="46"/>
      <c r="H259" s="46"/>
    </row>
    <row r="260" spans="4:8">
      <c r="D260" s="46"/>
      <c r="H260" s="46"/>
    </row>
    <row r="261" spans="4:8">
      <c r="D261" s="46"/>
      <c r="H261" s="46"/>
    </row>
    <row r="262" spans="4:8">
      <c r="D262" s="46"/>
      <c r="H262" s="46"/>
    </row>
    <row r="263" spans="4:8">
      <c r="D263" s="46"/>
      <c r="H263" s="46"/>
    </row>
    <row r="264" spans="4:8">
      <c r="D264" s="46"/>
      <c r="H264" s="46"/>
    </row>
    <row r="265" spans="4:8">
      <c r="D265" s="46"/>
      <c r="H265" s="46"/>
    </row>
    <row r="266" spans="4:8">
      <c r="D266" s="46"/>
      <c r="H266" s="46"/>
    </row>
    <row r="267" spans="4:8">
      <c r="D267" s="46"/>
      <c r="H267" s="46"/>
    </row>
    <row r="268" spans="4:8">
      <c r="D268" s="46"/>
      <c r="H268" s="46"/>
    </row>
    <row r="269" spans="4:8">
      <c r="D269" s="46"/>
      <c r="H269" s="46"/>
    </row>
    <row r="270" spans="4:8">
      <c r="D270" s="46"/>
      <c r="H270" s="46"/>
    </row>
    <row r="271" spans="4:8">
      <c r="D271" s="46"/>
      <c r="H271" s="46"/>
    </row>
    <row r="272" spans="4:8">
      <c r="D272" s="46"/>
      <c r="H272" s="46"/>
    </row>
    <row r="273" spans="4:8">
      <c r="D273" s="46"/>
      <c r="H273" s="46"/>
    </row>
    <row r="274" spans="4:8">
      <c r="D274" s="46"/>
      <c r="H274" s="46"/>
    </row>
    <row r="275" spans="4:8">
      <c r="D275" s="46"/>
      <c r="H275" s="46"/>
    </row>
    <row r="276" spans="4:8">
      <c r="D276" s="46"/>
      <c r="H276" s="46"/>
    </row>
    <row r="277" spans="4:8">
      <c r="D277" s="46"/>
      <c r="H277" s="46"/>
    </row>
    <row r="278" spans="4:8">
      <c r="D278" s="46"/>
      <c r="H278" s="46"/>
    </row>
    <row r="279" spans="4:8">
      <c r="D279" s="46"/>
      <c r="H279" s="46"/>
    </row>
    <row r="280" spans="4:8">
      <c r="D280" s="46"/>
    </row>
    <row r="281" spans="4:8">
      <c r="D281" s="46"/>
    </row>
    <row r="282" spans="4:8">
      <c r="D282" s="46"/>
    </row>
    <row r="283" spans="4:8">
      <c r="D283" s="46"/>
    </row>
    <row r="284" spans="4:8">
      <c r="D284" s="46"/>
    </row>
    <row r="285" spans="4:8">
      <c r="D285" s="46"/>
    </row>
    <row r="286" spans="4:8">
      <c r="D286" s="46"/>
    </row>
    <row r="287" spans="4:8">
      <c r="D287" s="46"/>
    </row>
    <row r="288" spans="4:8">
      <c r="D288" s="46"/>
    </row>
    <row r="289" spans="4:4">
      <c r="D289" s="46"/>
    </row>
    <row r="290" spans="4:4">
      <c r="D290" s="46"/>
    </row>
    <row r="291" spans="4:4">
      <c r="D291" s="46"/>
    </row>
    <row r="292" spans="4:4">
      <c r="D292" s="46"/>
    </row>
    <row r="293" spans="4:4">
      <c r="D293" s="46"/>
    </row>
    <row r="294" spans="4:4">
      <c r="D294" s="46"/>
    </row>
    <row r="295" spans="4:4">
      <c r="D295" s="46"/>
    </row>
    <row r="296" spans="4:4">
      <c r="D296" s="46"/>
    </row>
    <row r="297" spans="4:4">
      <c r="D297" s="46"/>
    </row>
    <row r="298" spans="4:4">
      <c r="D298" s="46"/>
    </row>
    <row r="299" spans="4:4">
      <c r="D299" s="46"/>
    </row>
    <row r="300" spans="4:4">
      <c r="D300" s="46"/>
    </row>
    <row r="301" spans="4:4">
      <c r="D301" s="46"/>
    </row>
    <row r="302" spans="4:4">
      <c r="D302" s="46"/>
    </row>
    <row r="303" spans="4:4">
      <c r="D303" s="46"/>
    </row>
    <row r="304" spans="4:4">
      <c r="D304" s="46"/>
    </row>
    <row r="305" spans="4:4">
      <c r="D305" s="46"/>
    </row>
    <row r="306" spans="4:4">
      <c r="D306" s="46"/>
    </row>
    <row r="307" spans="4:4">
      <c r="D307" s="46"/>
    </row>
    <row r="308" spans="4:4">
      <c r="D308" s="46"/>
    </row>
    <row r="309" spans="4:4">
      <c r="D309" s="46"/>
    </row>
    <row r="310" spans="4:4">
      <c r="D310" s="46"/>
    </row>
    <row r="311" spans="4:4">
      <c r="D311" s="46"/>
    </row>
    <row r="312" spans="4:4">
      <c r="D312" s="46"/>
    </row>
    <row r="313" spans="4:4">
      <c r="D313" s="46"/>
    </row>
    <row r="314" spans="4:4">
      <c r="D314" s="46"/>
    </row>
    <row r="315" spans="4:4">
      <c r="D315" s="46"/>
    </row>
    <row r="316" spans="4:4">
      <c r="D316" s="46"/>
    </row>
    <row r="317" spans="4:4">
      <c r="D317" s="46"/>
    </row>
    <row r="318" spans="4:4">
      <c r="D318" s="46"/>
    </row>
    <row r="319" spans="4:4">
      <c r="D319" s="46"/>
    </row>
    <row r="320" spans="4:4">
      <c r="D320" s="46"/>
    </row>
    <row r="321" spans="4:4">
      <c r="D321" s="46"/>
    </row>
    <row r="322" spans="4:4">
      <c r="D322" s="46"/>
    </row>
    <row r="323" spans="4:4">
      <c r="D323" s="46"/>
    </row>
    <row r="324" spans="4:4">
      <c r="D324" s="46"/>
    </row>
    <row r="325" spans="4:4">
      <c r="D325" s="46"/>
    </row>
    <row r="326" spans="4:4">
      <c r="D326" s="46"/>
    </row>
    <row r="327" spans="4:4">
      <c r="D327" s="46"/>
    </row>
    <row r="328" spans="4:4">
      <c r="D328" s="46"/>
    </row>
    <row r="329" spans="4:4">
      <c r="D329" s="46"/>
    </row>
    <row r="330" spans="4:4">
      <c r="D330" s="46"/>
    </row>
    <row r="331" spans="4:4">
      <c r="D331" s="46"/>
    </row>
    <row r="332" spans="4:4">
      <c r="D332" s="46"/>
    </row>
    <row r="333" spans="4:4">
      <c r="D333" s="46"/>
    </row>
    <row r="334" spans="4:4">
      <c r="D334" s="46"/>
    </row>
    <row r="335" spans="4:4">
      <c r="D335" s="46"/>
    </row>
    <row r="336" spans="4:4">
      <c r="D336" s="46"/>
    </row>
    <row r="337" spans="4:4">
      <c r="D337" s="46"/>
    </row>
    <row r="338" spans="4:4">
      <c r="D338" s="46"/>
    </row>
    <row r="339" spans="4:4">
      <c r="D339" s="46"/>
    </row>
    <row r="340" spans="4:4">
      <c r="D340" s="46"/>
    </row>
    <row r="341" spans="4:4">
      <c r="D341" s="46"/>
    </row>
    <row r="342" spans="4:4">
      <c r="D342" s="46"/>
    </row>
    <row r="343" spans="4:4">
      <c r="D343" s="46"/>
    </row>
    <row r="344" spans="4:4">
      <c r="D344" s="46"/>
    </row>
    <row r="345" spans="4:4">
      <c r="D345" s="46"/>
    </row>
    <row r="346" spans="4:4">
      <c r="D346" s="46"/>
    </row>
    <row r="347" spans="4:4">
      <c r="D347" s="46"/>
    </row>
    <row r="348" spans="4:4">
      <c r="D348" s="46"/>
    </row>
    <row r="349" spans="4:4">
      <c r="D349" s="46"/>
    </row>
    <row r="350" spans="4:4">
      <c r="D350" s="46"/>
    </row>
    <row r="351" spans="4:4">
      <c r="D351" s="46"/>
    </row>
    <row r="352" spans="4:4">
      <c r="D352" s="46"/>
    </row>
    <row r="353" spans="4:4">
      <c r="D353" s="46"/>
    </row>
    <row r="354" spans="4:4">
      <c r="D354" s="46"/>
    </row>
    <row r="355" spans="4:4">
      <c r="D355" s="46"/>
    </row>
    <row r="356" spans="4:4">
      <c r="D356" s="46"/>
    </row>
    <row r="357" spans="4:4">
      <c r="D357" s="46"/>
    </row>
    <row r="358" spans="4:4">
      <c r="D358" s="46"/>
    </row>
    <row r="359" spans="4:4">
      <c r="D359" s="46"/>
    </row>
    <row r="360" spans="4:4">
      <c r="D360" s="46"/>
    </row>
    <row r="361" spans="4:4">
      <c r="D361" s="46"/>
    </row>
    <row r="362" spans="4:4">
      <c r="D362" s="46"/>
    </row>
    <row r="363" spans="4:4">
      <c r="D363" s="46"/>
    </row>
    <row r="364" spans="4:4">
      <c r="D364" s="46"/>
    </row>
    <row r="365" spans="4:4">
      <c r="D365" s="46"/>
    </row>
    <row r="366" spans="4:4">
      <c r="D366" s="46"/>
    </row>
    <row r="367" spans="4:4">
      <c r="D367" s="46"/>
    </row>
    <row r="368" spans="4:4">
      <c r="D368" s="46"/>
    </row>
    <row r="369" spans="4:4">
      <c r="D369" s="46"/>
    </row>
    <row r="370" spans="4:4">
      <c r="D370" s="46"/>
    </row>
    <row r="371" spans="4:4">
      <c r="D371" s="46"/>
    </row>
    <row r="372" spans="4:4">
      <c r="D372" s="46"/>
    </row>
    <row r="373" spans="4:4">
      <c r="D373" s="46"/>
    </row>
    <row r="374" spans="4:4">
      <c r="D374" s="46"/>
    </row>
    <row r="375" spans="4:4">
      <c r="D375" s="46"/>
    </row>
    <row r="376" spans="4:4">
      <c r="D376" s="46"/>
    </row>
    <row r="377" spans="4:4">
      <c r="D377" s="46"/>
    </row>
    <row r="378" spans="4:4">
      <c r="D378" s="46"/>
    </row>
    <row r="379" spans="4:4">
      <c r="D379" s="46"/>
    </row>
    <row r="380" spans="4:4">
      <c r="D380" s="46"/>
    </row>
    <row r="381" spans="4:4">
      <c r="D381" s="46"/>
    </row>
    <row r="382" spans="4:4">
      <c r="D382" s="46"/>
    </row>
    <row r="383" spans="4:4">
      <c r="D383" s="46"/>
    </row>
    <row r="384" spans="4:4">
      <c r="D384" s="46"/>
    </row>
    <row r="385" spans="4:4">
      <c r="D385" s="46"/>
    </row>
    <row r="386" spans="4:4">
      <c r="D386" s="46"/>
    </row>
    <row r="387" spans="4:4">
      <c r="D387" s="46"/>
    </row>
    <row r="388" spans="4:4">
      <c r="D388" s="46"/>
    </row>
    <row r="389" spans="4:4">
      <c r="D389" s="46"/>
    </row>
    <row r="390" spans="4:4">
      <c r="D390" s="46"/>
    </row>
    <row r="391" spans="4:4">
      <c r="D391" s="46"/>
    </row>
    <row r="392" spans="4:4">
      <c r="D392" s="46"/>
    </row>
    <row r="393" spans="4:4">
      <c r="D393" s="46"/>
    </row>
    <row r="394" spans="4:4">
      <c r="D394" s="46"/>
    </row>
    <row r="395" spans="4:4">
      <c r="D395" s="46"/>
    </row>
    <row r="396" spans="4:4">
      <c r="D396" s="46"/>
    </row>
    <row r="397" spans="4:4">
      <c r="D397" s="46"/>
    </row>
    <row r="398" spans="4:4">
      <c r="D398" s="46"/>
    </row>
    <row r="399" spans="4:4">
      <c r="D399" s="46"/>
    </row>
    <row r="400" spans="4:4">
      <c r="D400" s="46"/>
    </row>
    <row r="401" spans="4:4">
      <c r="D401" s="46"/>
    </row>
    <row r="402" spans="4:4">
      <c r="D402" s="46"/>
    </row>
    <row r="403" spans="4:4">
      <c r="D403" s="46"/>
    </row>
    <row r="404" spans="4:4">
      <c r="D404" s="46"/>
    </row>
    <row r="405" spans="4:4">
      <c r="D405" s="46"/>
    </row>
    <row r="406" spans="4:4">
      <c r="D406" s="46"/>
    </row>
    <row r="407" spans="4:4">
      <c r="D407" s="46"/>
    </row>
    <row r="408" spans="4:4">
      <c r="D408" s="46"/>
    </row>
    <row r="409" spans="4:4">
      <c r="D409" s="46"/>
    </row>
    <row r="410" spans="4:4">
      <c r="D410" s="46"/>
    </row>
    <row r="411" spans="4:4">
      <c r="D411" s="46"/>
    </row>
    <row r="412" spans="4:4">
      <c r="D412" s="46"/>
    </row>
    <row r="413" spans="4:4">
      <c r="D413" s="46"/>
    </row>
    <row r="414" spans="4:4">
      <c r="D414" s="46"/>
    </row>
    <row r="415" spans="4:4">
      <c r="D415" s="46"/>
    </row>
    <row r="416" spans="4:4">
      <c r="D416" s="46"/>
    </row>
    <row r="417" spans="4:4">
      <c r="D417" s="46"/>
    </row>
    <row r="418" spans="4:4">
      <c r="D418" s="46"/>
    </row>
    <row r="419" spans="4:4">
      <c r="D419" s="46"/>
    </row>
    <row r="420" spans="4:4">
      <c r="D420" s="46"/>
    </row>
    <row r="421" spans="4:4">
      <c r="D421" s="46"/>
    </row>
    <row r="422" spans="4:4">
      <c r="D422" s="46"/>
    </row>
    <row r="423" spans="4:4">
      <c r="D423" s="46"/>
    </row>
    <row r="424" spans="4:4">
      <c r="D424" s="46"/>
    </row>
    <row r="425" spans="4:4">
      <c r="D425" s="46"/>
    </row>
    <row r="426" spans="4:4">
      <c r="D426" s="46"/>
    </row>
    <row r="427" spans="4:4">
      <c r="D427" s="46"/>
    </row>
    <row r="428" spans="4:4">
      <c r="D428" s="46"/>
    </row>
    <row r="429" spans="4:4">
      <c r="D429" s="46"/>
    </row>
    <row r="430" spans="4:4">
      <c r="D430" s="46"/>
    </row>
    <row r="431" spans="4:4">
      <c r="D431" s="46"/>
    </row>
    <row r="432" spans="4:4">
      <c r="D432" s="46"/>
    </row>
    <row r="433" spans="4:4">
      <c r="D433" s="46"/>
    </row>
    <row r="434" spans="4:4">
      <c r="D434" s="46"/>
    </row>
    <row r="435" spans="4:4">
      <c r="D435" s="46"/>
    </row>
    <row r="436" spans="4:4">
      <c r="D436" s="46"/>
    </row>
    <row r="437" spans="4:4">
      <c r="D437" s="46"/>
    </row>
    <row r="438" spans="4:4">
      <c r="D438" s="46"/>
    </row>
    <row r="439" spans="4:4">
      <c r="D439" s="46"/>
    </row>
    <row r="440" spans="4:4">
      <c r="D440" s="46"/>
    </row>
    <row r="441" spans="4:4">
      <c r="D441" s="46"/>
    </row>
    <row r="442" spans="4:4">
      <c r="D442" s="46"/>
    </row>
    <row r="443" spans="4:4">
      <c r="D443" s="46"/>
    </row>
    <row r="444" spans="4:4">
      <c r="D444" s="46"/>
    </row>
    <row r="445" spans="4:4">
      <c r="D445" s="46"/>
    </row>
    <row r="446" spans="4:4">
      <c r="D446" s="46"/>
    </row>
    <row r="447" spans="4:4">
      <c r="D447" s="46"/>
    </row>
    <row r="448" spans="4:4">
      <c r="D448" s="46"/>
    </row>
    <row r="449" spans="4:4">
      <c r="D449" s="46"/>
    </row>
    <row r="450" spans="4:4">
      <c r="D450" s="46"/>
    </row>
    <row r="451" spans="4:4">
      <c r="D451" s="46"/>
    </row>
    <row r="452" spans="4:4">
      <c r="D452" s="46"/>
    </row>
    <row r="453" spans="4:4">
      <c r="D453" s="46"/>
    </row>
    <row r="454" spans="4:4">
      <c r="D454" s="46"/>
    </row>
    <row r="455" spans="4:4">
      <c r="D455" s="46"/>
    </row>
    <row r="456" spans="4:4">
      <c r="D456" s="46"/>
    </row>
    <row r="457" spans="4:4">
      <c r="D457" s="46"/>
    </row>
    <row r="458" spans="4:4">
      <c r="D458" s="46"/>
    </row>
    <row r="459" spans="4:4">
      <c r="D459" s="46"/>
    </row>
    <row r="460" spans="4:4">
      <c r="D460" s="46"/>
    </row>
    <row r="461" spans="4:4">
      <c r="D461" s="46"/>
    </row>
    <row r="462" spans="4:4">
      <c r="D462" s="46"/>
    </row>
    <row r="463" spans="4:4">
      <c r="D463" s="46"/>
    </row>
    <row r="464" spans="4:4">
      <c r="D464" s="46"/>
    </row>
    <row r="465" spans="4:4">
      <c r="D465" s="46"/>
    </row>
    <row r="466" spans="4:4">
      <c r="D466" s="46"/>
    </row>
    <row r="467" spans="4:4">
      <c r="D467" s="46"/>
    </row>
    <row r="468" spans="4:4">
      <c r="D468" s="46"/>
    </row>
    <row r="469" spans="4:4">
      <c r="D469" s="46"/>
    </row>
    <row r="470" spans="4:4">
      <c r="D470" s="46"/>
    </row>
    <row r="471" spans="4:4">
      <c r="D471" s="46"/>
    </row>
    <row r="472" spans="4:4">
      <c r="D472" s="46"/>
    </row>
    <row r="473" spans="4:4">
      <c r="D473" s="46"/>
    </row>
    <row r="474" spans="4:4">
      <c r="D474" s="46"/>
    </row>
    <row r="475" spans="4:4">
      <c r="D475" s="46"/>
    </row>
    <row r="476" spans="4:4">
      <c r="D476" s="46"/>
    </row>
    <row r="477" spans="4:4">
      <c r="D477" s="46"/>
    </row>
    <row r="478" spans="4:4">
      <c r="D478" s="46"/>
    </row>
    <row r="479" spans="4:4">
      <c r="D479" s="46"/>
    </row>
    <row r="480" spans="4:4">
      <c r="D480" s="46"/>
    </row>
    <row r="481" spans="4:4">
      <c r="D481" s="46"/>
    </row>
    <row r="482" spans="4:4">
      <c r="D482" s="46"/>
    </row>
    <row r="483" spans="4:4">
      <c r="D483" s="46"/>
    </row>
    <row r="484" spans="4:4">
      <c r="D484" s="46"/>
    </row>
    <row r="485" spans="4:4">
      <c r="D485" s="46"/>
    </row>
    <row r="486" spans="4:4">
      <c r="D486" s="46"/>
    </row>
    <row r="487" spans="4:4">
      <c r="D487" s="46"/>
    </row>
    <row r="488" spans="4:4">
      <c r="D488" s="46"/>
    </row>
    <row r="489" spans="4:4">
      <c r="D489" s="46"/>
    </row>
    <row r="490" spans="4:4">
      <c r="D490" s="46"/>
    </row>
    <row r="491" spans="4:4">
      <c r="D491" s="46"/>
    </row>
    <row r="492" spans="4:4">
      <c r="D492" s="46"/>
    </row>
    <row r="493" spans="4:4">
      <c r="D493" s="46"/>
    </row>
    <row r="494" spans="4:4">
      <c r="D494" s="46"/>
    </row>
    <row r="495" spans="4:4">
      <c r="D495" s="46"/>
    </row>
    <row r="496" spans="4:4">
      <c r="D496" s="46"/>
    </row>
    <row r="497" spans="4:4">
      <c r="D497" s="46"/>
    </row>
    <row r="498" spans="4:4">
      <c r="D498" s="46"/>
    </row>
    <row r="499" spans="4:4">
      <c r="D499" s="46"/>
    </row>
    <row r="500" spans="4:4">
      <c r="D500" s="46"/>
    </row>
    <row r="501" spans="4:4">
      <c r="D501" s="46"/>
    </row>
    <row r="502" spans="4:4">
      <c r="D502" s="46"/>
    </row>
    <row r="503" spans="4:4">
      <c r="D503" s="46"/>
    </row>
    <row r="504" spans="4:4">
      <c r="D504" s="46"/>
    </row>
    <row r="505" spans="4:4">
      <c r="D505" s="46"/>
    </row>
    <row r="506" spans="4:4">
      <c r="D506" s="46"/>
    </row>
    <row r="507" spans="4:4">
      <c r="D507" s="46"/>
    </row>
    <row r="508" spans="4:4">
      <c r="D508" s="46"/>
    </row>
    <row r="509" spans="4:4">
      <c r="D509" s="46"/>
    </row>
    <row r="510" spans="4:4">
      <c r="D510" s="46"/>
    </row>
    <row r="511" spans="4:4">
      <c r="D511" s="46"/>
    </row>
    <row r="512" spans="4:4">
      <c r="D512" s="46"/>
    </row>
    <row r="513" spans="4:4">
      <c r="D513" s="46"/>
    </row>
    <row r="514" spans="4:4">
      <c r="D514" s="46"/>
    </row>
    <row r="515" spans="4:4">
      <c r="D515" s="46"/>
    </row>
    <row r="516" spans="4:4">
      <c r="D516" s="46"/>
    </row>
    <row r="517" spans="4:4">
      <c r="D517" s="46"/>
    </row>
    <row r="518" spans="4:4">
      <c r="D518" s="46"/>
    </row>
    <row r="519" spans="4:4">
      <c r="D519" s="46"/>
    </row>
    <row r="520" spans="4:4">
      <c r="D520" s="4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zoomScale="85" zoomScaleNormal="85" workbookViewId="0"/>
  </sheetViews>
  <sheetFormatPr defaultColWidth="9.109375" defaultRowHeight="13.2"/>
  <cols>
    <col min="1" max="1" width="30.6640625" style="127" customWidth="1"/>
    <col min="2" max="2" width="9.77734375" style="127" customWidth="1"/>
    <col min="3" max="6" width="9.44140625" style="127" bestFit="1" customWidth="1"/>
    <col min="7" max="16384" width="9.109375" style="127"/>
  </cols>
  <sheetData>
    <row r="1" spans="1:12" ht="21">
      <c r="A1" s="350" t="s">
        <v>149</v>
      </c>
    </row>
    <row r="2" spans="1:12" ht="21">
      <c r="A2" s="350"/>
    </row>
    <row r="3" spans="1:12">
      <c r="B3" s="426" t="s">
        <v>150</v>
      </c>
      <c r="C3" s="426"/>
      <c r="D3" s="426"/>
      <c r="E3" s="426"/>
      <c r="F3" s="426"/>
    </row>
    <row r="4" spans="1:12" ht="14.4">
      <c r="B4" s="351" t="s">
        <v>98</v>
      </c>
      <c r="C4" s="351" t="s">
        <v>99</v>
      </c>
      <c r="D4" s="351" t="s">
        <v>100</v>
      </c>
      <c r="E4" s="351" t="s">
        <v>101</v>
      </c>
      <c r="F4" s="351" t="s">
        <v>102</v>
      </c>
    </row>
    <row r="5" spans="1:12" ht="14.4">
      <c r="A5" s="127" t="s">
        <v>2</v>
      </c>
      <c r="B5" s="363">
        <v>1149.2312142121568</v>
      </c>
      <c r="C5" s="363">
        <v>1255.6304578332745</v>
      </c>
      <c r="D5" s="363">
        <v>1353.8373857301615</v>
      </c>
      <c r="E5" s="363">
        <v>1446.9754795854417</v>
      </c>
      <c r="F5" s="363">
        <v>1442.6203434361955</v>
      </c>
      <c r="L5" s="378"/>
    </row>
    <row r="6" spans="1:12" ht="14.4">
      <c r="A6" s="127" t="s">
        <v>103</v>
      </c>
      <c r="B6" s="352"/>
      <c r="C6" s="353">
        <f>C5/B5-1</f>
        <v>9.2582973996280238E-2</v>
      </c>
      <c r="D6" s="353">
        <f t="shared" ref="D6:F6" si="0">D5/C5-1</f>
        <v>7.8213241232100827E-2</v>
      </c>
      <c r="E6" s="353">
        <f t="shared" si="0"/>
        <v>6.879562851268739E-2</v>
      </c>
      <c r="F6" s="353">
        <f t="shared" si="0"/>
        <v>-3.0098202842344657E-3</v>
      </c>
    </row>
    <row r="7" spans="1:12" ht="14.4">
      <c r="A7" s="127" t="s">
        <v>147</v>
      </c>
      <c r="B7" s="363">
        <v>583.04965087049129</v>
      </c>
      <c r="C7" s="363">
        <v>634.42290081513784</v>
      </c>
      <c r="D7" s="363">
        <v>689.15767217994426</v>
      </c>
      <c r="E7" s="363">
        <v>736.80093729452119</v>
      </c>
      <c r="F7" s="363">
        <v>753.12425648235262</v>
      </c>
    </row>
    <row r="8" spans="1:12" ht="14.4">
      <c r="A8" s="354" t="s">
        <v>104</v>
      </c>
      <c r="B8" s="353">
        <f>B7/B5</f>
        <v>0.50733885719436778</v>
      </c>
      <c r="C8" s="353">
        <f t="shared" ref="C8:F8" si="1">C7/C5</f>
        <v>0.50526243359045531</v>
      </c>
      <c r="D8" s="353">
        <f t="shared" si="1"/>
        <v>0.50904021372423747</v>
      </c>
      <c r="E8" s="353">
        <f t="shared" si="1"/>
        <v>0.5092007070538711</v>
      </c>
      <c r="F8" s="353">
        <f t="shared" si="1"/>
        <v>0.52205298497903929</v>
      </c>
    </row>
    <row r="9" spans="1:12" ht="14.4">
      <c r="A9" s="127" t="s">
        <v>105</v>
      </c>
      <c r="B9" s="363">
        <v>-522.72817715549786</v>
      </c>
      <c r="C9" s="363">
        <v>-580.01288924996788</v>
      </c>
      <c r="D9" s="363">
        <v>-622.42079355856106</v>
      </c>
      <c r="E9" s="363">
        <v>-662.10013986288277</v>
      </c>
      <c r="F9" s="363">
        <v>-678.11530593625469</v>
      </c>
    </row>
    <row r="10" spans="1:12" ht="14.4">
      <c r="A10" s="355" t="s">
        <v>106</v>
      </c>
      <c r="B10" s="364">
        <f>SUM(B9,B7)</f>
        <v>60.321473714993431</v>
      </c>
      <c r="C10" s="364">
        <f t="shared" ref="C10:F10" si="2">SUM(C9,C7)</f>
        <v>54.410011565169953</v>
      </c>
      <c r="D10" s="364">
        <f t="shared" si="2"/>
        <v>66.736878621383198</v>
      </c>
      <c r="E10" s="364">
        <f t="shared" si="2"/>
        <v>74.700797431638421</v>
      </c>
      <c r="F10" s="364">
        <f t="shared" si="2"/>
        <v>75.008950546097935</v>
      </c>
    </row>
    <row r="11" spans="1:12" ht="14.4">
      <c r="A11" s="354" t="s">
        <v>107</v>
      </c>
      <c r="B11" s="353">
        <f>B10/B5</f>
        <v>5.2488544488713852E-2</v>
      </c>
      <c r="C11" s="353">
        <f t="shared" ref="C11:F11" si="3">C10/C5</f>
        <v>4.3332822348910109E-2</v>
      </c>
      <c r="D11" s="353">
        <f t="shared" si="3"/>
        <v>4.9294604599347931E-2</v>
      </c>
      <c r="E11" s="353">
        <f t="shared" si="3"/>
        <v>5.162547568051408E-2</v>
      </c>
      <c r="F11" s="353">
        <f t="shared" si="3"/>
        <v>5.1994934694621853E-2</v>
      </c>
    </row>
    <row r="12" spans="1:12" ht="14.4">
      <c r="A12" s="127" t="s">
        <v>108</v>
      </c>
      <c r="B12" s="363">
        <v>-5.4034794520547944</v>
      </c>
      <c r="C12" s="363">
        <v>-6.34</v>
      </c>
      <c r="D12" s="363">
        <v>-6.2353999999999994</v>
      </c>
      <c r="E12" s="363">
        <v>-6.2353999999999994</v>
      </c>
      <c r="F12" s="363">
        <v>-6.3407333333333327</v>
      </c>
    </row>
    <row r="13" spans="1:12" ht="14.4">
      <c r="A13" s="355" t="s">
        <v>109</v>
      </c>
      <c r="B13" s="364">
        <f>B12+B10</f>
        <v>54.917994262938635</v>
      </c>
      <c r="C13" s="364">
        <f t="shared" ref="C13:F13" si="4">C12+C10</f>
        <v>48.070011565169949</v>
      </c>
      <c r="D13" s="364">
        <f t="shared" si="4"/>
        <v>60.5014786213832</v>
      </c>
      <c r="E13" s="364">
        <f t="shared" si="4"/>
        <v>68.465397431638422</v>
      </c>
      <c r="F13" s="364">
        <f t="shared" si="4"/>
        <v>68.668217212764603</v>
      </c>
    </row>
    <row r="14" spans="1:12" ht="14.4">
      <c r="B14" s="352"/>
      <c r="C14" s="352"/>
      <c r="D14" s="352"/>
      <c r="E14" s="352"/>
      <c r="F14" s="352"/>
      <c r="G14" s="193"/>
    </row>
    <row r="15" spans="1:12" ht="14.4">
      <c r="A15" s="127" t="s">
        <v>110</v>
      </c>
      <c r="B15" s="363"/>
      <c r="C15" s="363">
        <v>-18.004468664734777</v>
      </c>
      <c r="D15" s="363">
        <v>-6.7527180429793674</v>
      </c>
      <c r="E15" s="363">
        <v>1.1384540263188825</v>
      </c>
      <c r="F15" s="363">
        <v>-4.8650405710493061</v>
      </c>
    </row>
    <row r="16" spans="1:12" ht="14.4">
      <c r="A16" s="355" t="s">
        <v>111</v>
      </c>
      <c r="B16" s="364">
        <f>B15+B13</f>
        <v>54.917994262938635</v>
      </c>
      <c r="C16" s="364">
        <f>C15+C13</f>
        <v>30.065542900435172</v>
      </c>
      <c r="D16" s="364">
        <f>D15+D13</f>
        <v>53.748760578403832</v>
      </c>
      <c r="E16" s="364">
        <f>E15+E13</f>
        <v>69.603851457957305</v>
      </c>
      <c r="F16" s="364">
        <f>F15+F13</f>
        <v>63.803176641715297</v>
      </c>
    </row>
    <row r="17" spans="1:6" ht="14.4">
      <c r="A17" s="356" t="s">
        <v>112</v>
      </c>
      <c r="B17" s="363">
        <v>3.1</v>
      </c>
      <c r="C17" s="363">
        <v>4.0999999999999996</v>
      </c>
      <c r="D17" s="363">
        <v>4.0999999999999996</v>
      </c>
      <c r="E17" s="363">
        <v>4.0999999999999996</v>
      </c>
      <c r="F17" s="363">
        <v>4.0999999999999996</v>
      </c>
    </row>
    <row r="18" spans="1:6" ht="14.4">
      <c r="A18" s="356" t="s">
        <v>113</v>
      </c>
      <c r="B18" s="363">
        <v>2.1</v>
      </c>
      <c r="C18" s="363">
        <v>2.0132666666666665</v>
      </c>
      <c r="D18" s="363">
        <v>1.9086666666666665</v>
      </c>
      <c r="E18" s="363">
        <v>1.9086666666666665</v>
      </c>
      <c r="F18" s="363">
        <v>1.9086666666666665</v>
      </c>
    </row>
    <row r="19" spans="1:6" ht="14.4">
      <c r="A19" s="356" t="s">
        <v>114</v>
      </c>
      <c r="B19" s="363">
        <v>34.029215400000027</v>
      </c>
      <c r="C19" s="363">
        <v>38.442026856682347</v>
      </c>
      <c r="D19" s="363">
        <v>45.286590949142067</v>
      </c>
      <c r="E19" s="363">
        <v>49.920876920897499</v>
      </c>
      <c r="F19" s="363">
        <v>52.891245475492525</v>
      </c>
    </row>
    <row r="20" spans="1:6" ht="14.4">
      <c r="A20" s="355" t="s">
        <v>115</v>
      </c>
      <c r="B20" s="364">
        <f>SUM(B16:B19)</f>
        <v>94.147209662938664</v>
      </c>
      <c r="C20" s="364">
        <f t="shared" ref="C20:F20" si="5">SUM(C16:C19)</f>
        <v>74.620836423784183</v>
      </c>
      <c r="D20" s="364">
        <f t="shared" si="5"/>
        <v>105.04401819421257</v>
      </c>
      <c r="E20" s="364">
        <f t="shared" si="5"/>
        <v>125.53339504552146</v>
      </c>
      <c r="F20" s="364">
        <f t="shared" si="5"/>
        <v>122.70308878387448</v>
      </c>
    </row>
    <row r="21" spans="1:6" ht="14.4">
      <c r="B21" s="363"/>
      <c r="C21" s="363"/>
      <c r="D21" s="352"/>
      <c r="E21" s="352"/>
      <c r="F21" s="352"/>
    </row>
    <row r="22" spans="1:6" ht="14.4">
      <c r="A22" s="127" t="s">
        <v>116</v>
      </c>
      <c r="B22" s="363">
        <v>0</v>
      </c>
      <c r="C22" s="363">
        <v>0</v>
      </c>
      <c r="D22" s="363">
        <v>0</v>
      </c>
      <c r="E22" s="363">
        <v>24</v>
      </c>
      <c r="F22" s="363">
        <v>0</v>
      </c>
    </row>
    <row r="23" spans="1:6" ht="14.4">
      <c r="A23" s="127" t="s">
        <v>7</v>
      </c>
      <c r="B23" s="363">
        <v>-36</v>
      </c>
      <c r="C23" s="363">
        <v>-51</v>
      </c>
      <c r="D23" s="363">
        <v>-50</v>
      </c>
      <c r="E23" s="363">
        <v>-50</v>
      </c>
      <c r="F23" s="363">
        <v>-50</v>
      </c>
    </row>
    <row r="24" spans="1:6" ht="14.4">
      <c r="A24" s="127" t="s">
        <v>117</v>
      </c>
      <c r="B24" s="363">
        <v>-9.1999999999999993</v>
      </c>
      <c r="C24" s="363">
        <v>-9.1999999999999993</v>
      </c>
      <c r="D24" s="363">
        <v>0</v>
      </c>
      <c r="E24" s="363">
        <v>0</v>
      </c>
      <c r="F24" s="363">
        <v>0</v>
      </c>
    </row>
    <row r="25" spans="1:6" ht="14.4">
      <c r="A25" s="127" t="s">
        <v>10</v>
      </c>
      <c r="B25" s="363">
        <v>-18.06402320252365</v>
      </c>
      <c r="C25" s="363">
        <v>-8.693414081730614</v>
      </c>
      <c r="D25" s="363">
        <v>-10.93107815184899</v>
      </c>
      <c r="E25" s="363">
        <v>-12.364583537694871</v>
      </c>
      <c r="F25" s="363">
        <v>-12.420051098297566</v>
      </c>
    </row>
    <row r="26" spans="1:6" ht="14.4">
      <c r="A26" s="127" t="s">
        <v>118</v>
      </c>
      <c r="B26" s="363">
        <v>-3.1</v>
      </c>
      <c r="C26" s="363">
        <v>-4.0999999999999996</v>
      </c>
      <c r="D26" s="363">
        <v>-4.0999999999999996</v>
      </c>
      <c r="E26" s="363">
        <v>-4.0999999999999996</v>
      </c>
      <c r="F26" s="363">
        <v>-4.0999999999999996</v>
      </c>
    </row>
    <row r="27" spans="1:6" ht="14.4">
      <c r="A27" s="127" t="s">
        <v>119</v>
      </c>
      <c r="B27" s="363">
        <v>6</v>
      </c>
      <c r="C27" s="363">
        <v>16.111954440903407</v>
      </c>
      <c r="D27" s="363">
        <v>15.168892666804709</v>
      </c>
      <c r="E27" s="363">
        <v>11.110216900668604</v>
      </c>
      <c r="F27" s="363">
        <v>3.9548595532390358</v>
      </c>
    </row>
    <row r="28" spans="1:6" ht="14.4">
      <c r="A28" s="127" t="s">
        <v>120</v>
      </c>
      <c r="B28" s="363">
        <v>-36.599999999999994</v>
      </c>
      <c r="C28" s="363">
        <v>-24</v>
      </c>
      <c r="D28" s="363">
        <v>-24</v>
      </c>
      <c r="E28" s="363">
        <v>-24</v>
      </c>
      <c r="F28" s="363">
        <v>-24</v>
      </c>
    </row>
    <row r="29" spans="1:6" ht="14.4">
      <c r="A29" s="127" t="s">
        <v>121</v>
      </c>
      <c r="B29" s="363">
        <v>0</v>
      </c>
      <c r="C29" s="363"/>
      <c r="D29" s="363">
        <v>-5</v>
      </c>
      <c r="E29" s="363">
        <v>-5</v>
      </c>
      <c r="F29" s="363">
        <v>-5</v>
      </c>
    </row>
    <row r="30" spans="1:6" ht="14.4">
      <c r="B30" s="352"/>
      <c r="C30" s="352"/>
      <c r="D30" s="352"/>
      <c r="E30" s="352"/>
      <c r="F30" s="352"/>
    </row>
    <row r="31" spans="1:6" ht="14.4">
      <c r="A31" s="127" t="s">
        <v>122</v>
      </c>
      <c r="B31" s="364">
        <f>SUM(B20:B30)</f>
        <v>-2.8168135395849845</v>
      </c>
      <c r="C31" s="364">
        <f t="shared" ref="C31:F31" si="6">SUM(C20:C30)</f>
        <v>-6.2606232170430225</v>
      </c>
      <c r="D31" s="364">
        <f t="shared" si="6"/>
        <v>26.181832709168283</v>
      </c>
      <c r="E31" s="364">
        <f t="shared" si="6"/>
        <v>65.179028408495185</v>
      </c>
      <c r="F31" s="364">
        <f t="shared" si="6"/>
        <v>31.137897238815953</v>
      </c>
    </row>
    <row r="32" spans="1:6" ht="14.4">
      <c r="A32" s="357" t="s">
        <v>123</v>
      </c>
      <c r="B32" s="364">
        <f>B31-B28-B24</f>
        <v>42.983186460415013</v>
      </c>
      <c r="C32" s="364">
        <f t="shared" ref="C32:F32" si="7">C31-C28-C24</f>
        <v>26.939376782956977</v>
      </c>
      <c r="D32" s="364">
        <f t="shared" si="7"/>
        <v>50.181832709168283</v>
      </c>
      <c r="E32" s="364">
        <f t="shared" si="7"/>
        <v>89.179028408495185</v>
      </c>
      <c r="F32" s="364">
        <f t="shared" si="7"/>
        <v>55.137897238815953</v>
      </c>
    </row>
    <row r="33" spans="1:7" ht="14.4">
      <c r="B33" s="352"/>
      <c r="C33" s="352"/>
      <c r="D33" s="352"/>
      <c r="E33" s="352"/>
      <c r="F33" s="352"/>
    </row>
    <row r="34" spans="1:7" ht="14.4">
      <c r="A34" s="127" t="s">
        <v>124</v>
      </c>
      <c r="B34" s="363">
        <v>-81.8</v>
      </c>
      <c r="C34" s="363">
        <f>B35</f>
        <v>-84.616813539584982</v>
      </c>
      <c r="D34" s="363">
        <f t="shared" ref="D34:F34" si="8">C35</f>
        <v>-90.877436756628001</v>
      </c>
      <c r="E34" s="363">
        <f t="shared" si="8"/>
        <v>-64.69560404745971</v>
      </c>
      <c r="F34" s="363">
        <f t="shared" si="8"/>
        <v>0.4834243610354747</v>
      </c>
    </row>
    <row r="35" spans="1:7" ht="14.4">
      <c r="A35" s="127" t="s">
        <v>125</v>
      </c>
      <c r="B35" s="363">
        <f>B34+B31</f>
        <v>-84.616813539584982</v>
      </c>
      <c r="C35" s="363">
        <f t="shared" ref="C35:F35" si="9">C34+C31</f>
        <v>-90.877436756628001</v>
      </c>
      <c r="D35" s="363">
        <f t="shared" si="9"/>
        <v>-64.69560404745971</v>
      </c>
      <c r="E35" s="363">
        <f t="shared" si="9"/>
        <v>0.4834243610354747</v>
      </c>
      <c r="F35" s="363">
        <f t="shared" si="9"/>
        <v>31.621321599851427</v>
      </c>
    </row>
    <row r="36" spans="1:7" ht="14.4">
      <c r="A36" s="355" t="s">
        <v>126</v>
      </c>
      <c r="B36" s="365">
        <f>-B35/(B20-B15)</f>
        <v>0.89877133738244663</v>
      </c>
      <c r="C36" s="365">
        <f t="shared" ref="C36:F36" si="10">-C35/(C20-C15)</f>
        <v>0.98112968880134244</v>
      </c>
      <c r="D36" s="365">
        <f t="shared" si="10"/>
        <v>0.57868955950734746</v>
      </c>
      <c r="E36" s="365">
        <f t="shared" si="10"/>
        <v>-3.8862059588166816E-3</v>
      </c>
      <c r="F36" s="365">
        <f t="shared" si="10"/>
        <v>-0.24787791245157842</v>
      </c>
    </row>
    <row r="37" spans="1:7" ht="14.4">
      <c r="B37" s="352"/>
      <c r="C37" s="352"/>
      <c r="D37" s="352"/>
      <c r="E37" s="352"/>
      <c r="F37" s="352"/>
    </row>
    <row r="38" spans="1:7" ht="14.4">
      <c r="B38" s="363"/>
      <c r="C38" s="363"/>
      <c r="D38" s="363"/>
      <c r="E38" s="363"/>
      <c r="F38" s="363"/>
    </row>
    <row r="39" spans="1:7" ht="14.4">
      <c r="A39" s="361"/>
      <c r="B39" s="363"/>
      <c r="C39" s="363"/>
      <c r="D39" s="363"/>
      <c r="E39" s="363"/>
      <c r="F39" s="363"/>
      <c r="G39" s="361"/>
    </row>
    <row r="40" spans="1:7" ht="14.4">
      <c r="A40" s="361"/>
      <c r="B40" s="363"/>
      <c r="C40" s="363"/>
      <c r="D40" s="363"/>
      <c r="E40" s="363"/>
      <c r="F40" s="363"/>
      <c r="G40" s="361"/>
    </row>
    <row r="41" spans="1:7" ht="14.4">
      <c r="A41" s="361"/>
      <c r="B41" s="363"/>
      <c r="C41" s="363"/>
      <c r="D41" s="363"/>
      <c r="E41" s="363"/>
      <c r="F41" s="363"/>
      <c r="G41" s="361"/>
    </row>
    <row r="42" spans="1:7" ht="14.4">
      <c r="A42" s="361"/>
      <c r="B42" s="363"/>
      <c r="C42" s="363"/>
      <c r="D42" s="363"/>
      <c r="E42" s="363"/>
      <c r="F42" s="363"/>
      <c r="G42" s="361"/>
    </row>
    <row r="43" spans="1:7" ht="14.4">
      <c r="A43" s="361"/>
      <c r="B43" s="363"/>
      <c r="C43" s="363"/>
      <c r="D43" s="363"/>
      <c r="E43" s="363"/>
      <c r="F43" s="363"/>
      <c r="G43" s="361"/>
    </row>
    <row r="44" spans="1:7" ht="14.4">
      <c r="A44" s="361"/>
      <c r="B44" s="363"/>
      <c r="C44" s="363"/>
      <c r="D44" s="363"/>
      <c r="E44" s="363"/>
      <c r="F44" s="363"/>
      <c r="G44" s="361"/>
    </row>
    <row r="45" spans="1:7" ht="14.4">
      <c r="A45" s="361"/>
      <c r="B45" s="363"/>
      <c r="C45" s="363"/>
      <c r="D45" s="363"/>
      <c r="E45" s="363"/>
      <c r="F45" s="363"/>
      <c r="G45" s="361"/>
    </row>
    <row r="46" spans="1:7" ht="14.4">
      <c r="A46" s="361"/>
      <c r="B46" s="363"/>
      <c r="C46" s="363"/>
      <c r="D46" s="363"/>
      <c r="E46" s="363"/>
      <c r="F46" s="363"/>
      <c r="G46" s="361"/>
    </row>
    <row r="47" spans="1:7" ht="14.4">
      <c r="A47" s="361"/>
      <c r="B47" s="363"/>
      <c r="C47" s="363"/>
      <c r="D47" s="363"/>
      <c r="E47" s="363"/>
      <c r="F47" s="363"/>
      <c r="G47" s="361"/>
    </row>
    <row r="48" spans="1:7" ht="14.4">
      <c r="A48" s="361"/>
      <c r="B48" s="363"/>
      <c r="C48" s="363"/>
      <c r="D48" s="363"/>
      <c r="E48" s="363"/>
      <c r="F48" s="363"/>
      <c r="G48" s="361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</sheetPr>
  <dimension ref="B2:AH92"/>
  <sheetViews>
    <sheetView showGridLines="0" zoomScale="85" zoomScaleNormal="85" zoomScaleSheetLayoutView="85" workbookViewId="0"/>
  </sheetViews>
  <sheetFormatPr defaultColWidth="9.109375" defaultRowHeight="13.2" outlineLevelRow="1"/>
  <cols>
    <col min="1" max="1" width="3" style="7" customWidth="1"/>
    <col min="2" max="2" width="2.77734375" style="7" customWidth="1"/>
    <col min="3" max="3" width="27.6640625" style="7" customWidth="1"/>
    <col min="4" max="5" width="3.44140625" style="7" customWidth="1"/>
    <col min="6" max="22" width="12.6640625" style="7" customWidth="1"/>
    <col min="23" max="23" width="3.44140625" style="7" customWidth="1"/>
    <col min="24" max="16384" width="9.109375" style="7"/>
  </cols>
  <sheetData>
    <row r="2" spans="2:34" ht="12" customHeight="1">
      <c r="B2" s="52"/>
      <c r="E2" s="33"/>
      <c r="O2" s="38"/>
      <c r="R2" s="39"/>
    </row>
    <row r="3" spans="2:34" ht="12" customHeight="1">
      <c r="B3" s="52"/>
      <c r="E3" s="33"/>
      <c r="O3" s="38"/>
      <c r="R3" s="39"/>
    </row>
    <row r="4" spans="2:34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4" ht="12.75" customHeight="1">
      <c r="B5" s="5"/>
      <c r="C5" s="17" t="s">
        <v>16</v>
      </c>
      <c r="D5" s="18"/>
      <c r="E5" s="19"/>
      <c r="F5" s="20"/>
      <c r="G5" s="20"/>
      <c r="H5" s="20"/>
      <c r="I5" s="20"/>
      <c r="J5" s="20"/>
      <c r="K5" s="20"/>
      <c r="L5" s="21"/>
      <c r="M5" s="21"/>
      <c r="N5" s="22"/>
      <c r="O5" s="21"/>
      <c r="P5" s="21"/>
      <c r="Q5" s="21"/>
      <c r="R5" s="21"/>
      <c r="S5" s="21"/>
      <c r="T5" s="21"/>
      <c r="U5" s="21"/>
      <c r="V5" s="23"/>
    </row>
    <row r="6" spans="2:34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4">
      <c r="B7" s="5"/>
      <c r="D7" s="24"/>
      <c r="F7" s="358" t="s">
        <v>76</v>
      </c>
      <c r="G7" s="358"/>
      <c r="H7" s="358"/>
      <c r="I7" s="358"/>
      <c r="J7" s="358"/>
      <c r="K7" s="358"/>
      <c r="L7" s="359" t="s">
        <v>127</v>
      </c>
      <c r="M7" s="359"/>
      <c r="N7" s="359"/>
      <c r="O7" s="359"/>
      <c r="P7" s="359"/>
      <c r="Q7" s="360" t="s">
        <v>79</v>
      </c>
      <c r="R7" s="360"/>
      <c r="S7" s="360"/>
      <c r="T7" s="360"/>
      <c r="U7" s="360"/>
      <c r="V7" s="360"/>
    </row>
    <row r="8" spans="2:34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68"/>
      <c r="N8" s="11"/>
      <c r="O8" s="5"/>
      <c r="P8" s="5"/>
      <c r="Q8" s="5"/>
      <c r="R8" s="5"/>
      <c r="S8" s="5"/>
    </row>
    <row r="9" spans="2:34" ht="12.75" customHeight="1">
      <c r="B9" s="5"/>
      <c r="C9" s="83" t="str">
        <f>TEXT(Assumptions!$D$11,"mmmm")&amp;" YE ($mm)"</f>
        <v>March YE ($mm)</v>
      </c>
      <c r="D9" s="49"/>
      <c r="E9" s="50"/>
      <c r="F9" s="178">
        <v>41729</v>
      </c>
      <c r="G9" s="178">
        <f>+EDATE(F9,12)</f>
        <v>42094</v>
      </c>
      <c r="H9" s="178">
        <f t="shared" ref="H9:V9" si="0">+EDATE(G9,12)</f>
        <v>42460</v>
      </c>
      <c r="I9" s="178">
        <f t="shared" si="0"/>
        <v>42825</v>
      </c>
      <c r="J9" s="178">
        <f t="shared" si="0"/>
        <v>43190</v>
      </c>
      <c r="K9" s="178">
        <f t="shared" si="0"/>
        <v>43555</v>
      </c>
      <c r="L9" s="41">
        <f t="shared" si="0"/>
        <v>43921</v>
      </c>
      <c r="M9" s="41">
        <f t="shared" si="0"/>
        <v>44286</v>
      </c>
      <c r="N9" s="41">
        <f t="shared" si="0"/>
        <v>44651</v>
      </c>
      <c r="O9" s="41">
        <f t="shared" si="0"/>
        <v>45016</v>
      </c>
      <c r="P9" s="41">
        <f t="shared" si="0"/>
        <v>45382</v>
      </c>
      <c r="Q9" s="41">
        <f t="shared" si="0"/>
        <v>45747</v>
      </c>
      <c r="R9" s="41">
        <f t="shared" si="0"/>
        <v>46112</v>
      </c>
      <c r="S9" s="41">
        <f t="shared" si="0"/>
        <v>46477</v>
      </c>
      <c r="T9" s="41">
        <f t="shared" si="0"/>
        <v>46843</v>
      </c>
      <c r="U9" s="41">
        <f t="shared" si="0"/>
        <v>47208</v>
      </c>
      <c r="V9" s="41">
        <f t="shared" si="0"/>
        <v>47573</v>
      </c>
    </row>
    <row r="10" spans="2:34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68"/>
      <c r="Q10" s="5"/>
      <c r="R10" s="5"/>
      <c r="S10" s="5"/>
      <c r="U10" s="5"/>
      <c r="V10" s="5"/>
    </row>
    <row r="11" spans="2:34">
      <c r="B11" s="5"/>
      <c r="C11" s="36" t="s">
        <v>23</v>
      </c>
      <c r="D11" s="36"/>
      <c r="E11" s="37"/>
      <c r="F11" s="133">
        <v>939.7</v>
      </c>
      <c r="G11" s="133">
        <v>1004.9</v>
      </c>
      <c r="H11" s="133">
        <v>1021.5</v>
      </c>
      <c r="I11" s="133">
        <v>1095</v>
      </c>
      <c r="J11" s="133">
        <v>1135.0999999999999</v>
      </c>
      <c r="K11" s="133">
        <v>1138.5999999999999</v>
      </c>
      <c r="L11" s="125">
        <f>K11*(1+L13)</f>
        <v>0</v>
      </c>
      <c r="M11" s="125" t="e">
        <f t="shared" ref="M11:V11" si="1">L11*(1+M13)</f>
        <v>#VALUE!</v>
      </c>
      <c r="N11" s="125" t="e">
        <f t="shared" si="1"/>
        <v>#VALUE!</v>
      </c>
      <c r="O11" s="125" t="e">
        <f t="shared" si="1"/>
        <v>#VALUE!</v>
      </c>
      <c r="P11" s="125" t="e">
        <f t="shared" si="1"/>
        <v>#VALUE!</v>
      </c>
      <c r="Q11" s="125" t="e">
        <f t="shared" si="1"/>
        <v>#VALUE!</v>
      </c>
      <c r="R11" s="125" t="e">
        <f t="shared" si="1"/>
        <v>#VALUE!</v>
      </c>
      <c r="S11" s="125" t="e">
        <f t="shared" si="1"/>
        <v>#VALUE!</v>
      </c>
      <c r="T11" s="125" t="e">
        <f t="shared" si="1"/>
        <v>#VALUE!</v>
      </c>
      <c r="U11" s="125" t="e">
        <f t="shared" si="1"/>
        <v>#VALUE!</v>
      </c>
      <c r="V11" s="125" t="e">
        <f t="shared" si="1"/>
        <v>#VALUE!</v>
      </c>
    </row>
    <row r="12" spans="2:34" outlineLevel="1">
      <c r="B12" s="5"/>
      <c r="C12" s="136" t="s">
        <v>129</v>
      </c>
      <c r="D12" s="136"/>
      <c r="E12" s="137"/>
      <c r="F12" s="186"/>
      <c r="G12" s="186"/>
      <c r="H12" s="186"/>
      <c r="I12" s="186"/>
      <c r="J12" s="186"/>
      <c r="K12" s="186"/>
      <c r="L12" s="396"/>
      <c r="M12" s="396"/>
      <c r="N12" s="396"/>
      <c r="O12" s="396"/>
      <c r="P12" s="396"/>
      <c r="Q12" s="151"/>
      <c r="R12" s="151"/>
      <c r="S12" s="151"/>
      <c r="T12" s="151"/>
      <c r="U12" s="151"/>
      <c r="V12" s="151"/>
      <c r="Y12" s="391" t="s">
        <v>159</v>
      </c>
      <c r="Z12" s="391"/>
      <c r="AA12" s="391"/>
      <c r="AB12" s="391"/>
      <c r="AC12" s="391"/>
      <c r="AD12" s="391"/>
      <c r="AE12" s="391"/>
      <c r="AF12" s="391"/>
      <c r="AG12" s="391"/>
      <c r="AH12" s="391"/>
    </row>
    <row r="13" spans="2:34">
      <c r="B13" s="14"/>
      <c r="C13" s="14" t="s">
        <v>77</v>
      </c>
      <c r="D13" s="14"/>
      <c r="E13" s="6"/>
      <c r="L13" s="149">
        <f>IF(ISERROR(L12/K11-1),"n.a.",L12/K11-1)</f>
        <v>-1</v>
      </c>
      <c r="M13" s="149" t="str">
        <f>IF(ISERROR(M12/L12-1),"n.a.",M12/L12-1)</f>
        <v>n.a.</v>
      </c>
      <c r="N13" s="149" t="str">
        <f>IF(ISERROR(N12/M12-1),"n.a.",N12/M12-1)</f>
        <v>n.a.</v>
      </c>
      <c r="O13" s="149" t="str">
        <f>IF(ISERROR(O12/N12-1),"n.a.",O12/N12-1)</f>
        <v>n.a.</v>
      </c>
      <c r="P13" s="149" t="str">
        <f>IF(ISERROR(P12/O12-1),"n.a.",P12/O12-1)</f>
        <v>n.a.</v>
      </c>
      <c r="Q13" s="150">
        <v>0.02</v>
      </c>
      <c r="R13" s="390"/>
      <c r="S13" s="390"/>
      <c r="T13" s="390"/>
      <c r="U13" s="390"/>
      <c r="V13" s="150">
        <v>0.01</v>
      </c>
      <c r="Y13" s="391" t="s">
        <v>154</v>
      </c>
      <c r="Z13" s="391"/>
      <c r="AA13" s="391"/>
      <c r="AB13" s="391"/>
      <c r="AC13" s="391"/>
      <c r="AD13" s="391"/>
      <c r="AE13" s="391"/>
      <c r="AF13" s="391"/>
      <c r="AG13" s="391"/>
      <c r="AH13" s="391"/>
    </row>
    <row r="14" spans="2:34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4">
      <c r="B15" s="5"/>
      <c r="C15" s="36" t="s">
        <v>3</v>
      </c>
      <c r="D15" s="36"/>
      <c r="E15" s="37"/>
      <c r="F15" s="133">
        <v>101.1</v>
      </c>
      <c r="G15" s="133">
        <v>109.9</v>
      </c>
      <c r="H15" s="133">
        <v>114.6</v>
      </c>
      <c r="I15" s="133">
        <v>108.7</v>
      </c>
      <c r="J15" s="133">
        <v>109.5</v>
      </c>
      <c r="K15" s="133">
        <v>98.2</v>
      </c>
      <c r="L15" s="125" t="e">
        <f>L11*L18</f>
        <v>#VALUE!</v>
      </c>
      <c r="M15" s="125" t="e">
        <f t="shared" ref="M15:V15" si="2">M11*M18</f>
        <v>#VALUE!</v>
      </c>
      <c r="N15" s="125" t="e">
        <f t="shared" si="2"/>
        <v>#VALUE!</v>
      </c>
      <c r="O15" s="125" t="e">
        <f t="shared" si="2"/>
        <v>#VALUE!</v>
      </c>
      <c r="P15" s="125" t="e">
        <f t="shared" si="2"/>
        <v>#VALUE!</v>
      </c>
      <c r="Q15" s="125" t="e">
        <f t="shared" si="2"/>
        <v>#VALUE!</v>
      </c>
      <c r="R15" s="125" t="e">
        <f t="shared" si="2"/>
        <v>#VALUE!</v>
      </c>
      <c r="S15" s="125" t="e">
        <f t="shared" si="2"/>
        <v>#VALUE!</v>
      </c>
      <c r="T15" s="125" t="e">
        <f t="shared" si="2"/>
        <v>#VALUE!</v>
      </c>
      <c r="U15" s="125" t="e">
        <f t="shared" si="2"/>
        <v>#VALUE!</v>
      </c>
      <c r="V15" s="125" t="e">
        <f t="shared" si="2"/>
        <v>#VALUE!</v>
      </c>
    </row>
    <row r="16" spans="2:34" ht="12.75" customHeight="1" outlineLevel="1">
      <c r="B16" s="5"/>
      <c r="C16" s="136" t="str">
        <f>+$C$12</f>
        <v>Management case</v>
      </c>
      <c r="D16" s="136"/>
      <c r="E16" s="137"/>
      <c r="F16" s="151"/>
      <c r="G16" s="151"/>
      <c r="H16" s="151"/>
      <c r="I16" s="151"/>
      <c r="J16" s="151"/>
      <c r="K16" s="151"/>
      <c r="L16" s="396"/>
      <c r="M16" s="396"/>
      <c r="N16" s="396"/>
      <c r="O16" s="396"/>
      <c r="P16" s="396"/>
      <c r="Q16" s="151"/>
      <c r="R16" s="151"/>
      <c r="S16" s="151"/>
      <c r="T16" s="151"/>
      <c r="U16" s="151"/>
      <c r="V16" s="151"/>
      <c r="Y16" s="391" t="s">
        <v>159</v>
      </c>
      <c r="Z16" s="391"/>
      <c r="AA16" s="391"/>
      <c r="AB16" s="391"/>
      <c r="AC16" s="391"/>
      <c r="AD16" s="391"/>
      <c r="AE16" s="391"/>
      <c r="AF16" s="391"/>
      <c r="AG16" s="391"/>
      <c r="AH16" s="391"/>
    </row>
    <row r="17" spans="2:34">
      <c r="B17" s="5"/>
      <c r="C17" s="14" t="s">
        <v>0</v>
      </c>
      <c r="D17" s="14"/>
      <c r="E17" s="6"/>
      <c r="F17" s="149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3">IF(ISERROR(H15/G15-1),"n.a.",H15/G15-1)</f>
        <v>4.2766151046405687E-2</v>
      </c>
      <c r="I17" s="6">
        <f t="shared" si="3"/>
        <v>-5.148342059336819E-2</v>
      </c>
      <c r="J17" s="6">
        <f t="shared" si="3"/>
        <v>7.3597056117755688E-3</v>
      </c>
      <c r="K17" s="6">
        <f t="shared" si="3"/>
        <v>-0.10319634703196345</v>
      </c>
      <c r="L17" s="6" t="str">
        <f>IF(ISERROR(L15/K15-1),"n.a.",L15/K15-1)</f>
        <v>n.a.</v>
      </c>
      <c r="M17" s="6" t="str">
        <f t="shared" ref="M17:V17" si="4">IF(ISERROR(M15/L15-1),"n.a.",M15/L15-1)</f>
        <v>n.a.</v>
      </c>
      <c r="N17" s="6" t="str">
        <f t="shared" si="4"/>
        <v>n.a.</v>
      </c>
      <c r="O17" s="6" t="str">
        <f t="shared" si="4"/>
        <v>n.a.</v>
      </c>
      <c r="P17" s="6" t="str">
        <f t="shared" si="4"/>
        <v>n.a.</v>
      </c>
      <c r="Q17" s="6" t="str">
        <f t="shared" si="4"/>
        <v>n.a.</v>
      </c>
      <c r="R17" s="6" t="str">
        <f t="shared" si="4"/>
        <v>n.a.</v>
      </c>
      <c r="S17" s="6" t="str">
        <f t="shared" si="4"/>
        <v>n.a.</v>
      </c>
      <c r="T17" s="6" t="str">
        <f t="shared" si="4"/>
        <v>n.a.</v>
      </c>
      <c r="U17" s="6" t="str">
        <f t="shared" si="4"/>
        <v>n.a.</v>
      </c>
      <c r="V17" s="6" t="str">
        <f t="shared" si="4"/>
        <v>n.a.</v>
      </c>
    </row>
    <row r="18" spans="2:34">
      <c r="B18" s="5"/>
      <c r="C18" s="14" t="s">
        <v>78</v>
      </c>
      <c r="D18" s="14"/>
      <c r="E18" s="6"/>
      <c r="L18" s="149" t="str">
        <f>IF(ISERROR(L16/L$12),"n.a.",L16/L$12)</f>
        <v>n.a.</v>
      </c>
      <c r="M18" s="149" t="str">
        <f>IF(ISERROR(M16/M$12),"n.a.",M16/M$12)</f>
        <v>n.a.</v>
      </c>
      <c r="N18" s="149" t="str">
        <f>IF(ISERROR(N16/N$12),"n.a.",N16/N$12)</f>
        <v>n.a.</v>
      </c>
      <c r="O18" s="149" t="str">
        <f>IF(ISERROR(O16/O$12),"n.a.",O16/O$12)</f>
        <v>n.a.</v>
      </c>
      <c r="P18" s="196" t="str">
        <f>IF(ISERROR(P16/P$12),"n.a.",P16/P$12)</f>
        <v>n.a.</v>
      </c>
      <c r="Q18" s="390"/>
      <c r="R18" s="390"/>
      <c r="S18" s="390"/>
      <c r="T18" s="390"/>
      <c r="U18" s="390"/>
      <c r="V18" s="185">
        <v>0.09</v>
      </c>
      <c r="Y18" s="391" t="s">
        <v>155</v>
      </c>
      <c r="Z18" s="391"/>
      <c r="AA18" s="391"/>
      <c r="AB18" s="391"/>
      <c r="AC18" s="391"/>
      <c r="AD18" s="391"/>
      <c r="AE18" s="391"/>
      <c r="AF18" s="391"/>
      <c r="AG18" s="391"/>
      <c r="AH18" s="391"/>
    </row>
    <row r="19" spans="2:3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4">
      <c r="B20" s="14"/>
      <c r="C20" s="36" t="s">
        <v>25</v>
      </c>
      <c r="D20" s="36"/>
      <c r="E20" s="37"/>
      <c r="F20" s="37">
        <f t="shared" ref="F20:K20" si="5">-F15+F25</f>
        <v>-23.299999999999997</v>
      </c>
      <c r="G20" s="37">
        <f t="shared" si="5"/>
        <v>-25.300000000000011</v>
      </c>
      <c r="H20" s="37">
        <f t="shared" si="5"/>
        <v>-30.099999999999994</v>
      </c>
      <c r="I20" s="37">
        <f t="shared" si="5"/>
        <v>-31.600000000000009</v>
      </c>
      <c r="J20" s="37">
        <f t="shared" si="5"/>
        <v>-34.900000000000006</v>
      </c>
      <c r="K20" s="37">
        <f t="shared" si="5"/>
        <v>-36</v>
      </c>
      <c r="L20" s="404"/>
      <c r="M20" s="404"/>
      <c r="N20" s="404"/>
      <c r="O20" s="404"/>
      <c r="P20" s="404"/>
      <c r="Q20" s="125">
        <f t="shared" ref="Q20:V20" si="6">Q22*Q40</f>
        <v>0</v>
      </c>
      <c r="R20" s="125">
        <f t="shared" si="6"/>
        <v>0</v>
      </c>
      <c r="S20" s="125">
        <f t="shared" si="6"/>
        <v>0</v>
      </c>
      <c r="T20" s="125">
        <f t="shared" si="6"/>
        <v>0</v>
      </c>
      <c r="U20" s="125">
        <f t="shared" si="6"/>
        <v>0</v>
      </c>
      <c r="V20" s="125">
        <f t="shared" si="6"/>
        <v>0</v>
      </c>
      <c r="Y20" s="391" t="s">
        <v>159</v>
      </c>
      <c r="Z20" s="391"/>
      <c r="AA20" s="391"/>
      <c r="AB20" s="391"/>
      <c r="AC20" s="391"/>
      <c r="AD20" s="391"/>
      <c r="AE20" s="391"/>
      <c r="AF20" s="391"/>
      <c r="AG20" s="391"/>
      <c r="AH20" s="391"/>
    </row>
    <row r="21" spans="2:34">
      <c r="B21" s="14"/>
      <c r="C21" s="14" t="s">
        <v>0</v>
      </c>
      <c r="D21" s="14"/>
      <c r="E21" s="6"/>
      <c r="F21" s="6" t="str">
        <f t="shared" ref="F21:V21" si="7">IF(ISERROR(F20/E20-1),"n.a.",F20/E20-1)</f>
        <v>n.a.</v>
      </c>
      <c r="G21" s="6">
        <f t="shared" si="7"/>
        <v>8.5836909871245259E-2</v>
      </c>
      <c r="H21" s="6">
        <f t="shared" si="7"/>
        <v>0.18972332015810212</v>
      </c>
      <c r="I21" s="6">
        <f t="shared" si="7"/>
        <v>4.9833887043189806E-2</v>
      </c>
      <c r="J21" s="6">
        <f t="shared" si="7"/>
        <v>0.10443037974683533</v>
      </c>
      <c r="K21" s="6">
        <f t="shared" si="7"/>
        <v>3.1518624641833748E-2</v>
      </c>
      <c r="L21" s="6">
        <f t="shared" si="7"/>
        <v>-1</v>
      </c>
      <c r="M21" s="6" t="str">
        <f t="shared" si="7"/>
        <v>n.a.</v>
      </c>
      <c r="N21" s="6" t="str">
        <f t="shared" si="7"/>
        <v>n.a.</v>
      </c>
      <c r="O21" s="6" t="str">
        <f t="shared" si="7"/>
        <v>n.a.</v>
      </c>
      <c r="P21" s="6" t="str">
        <f t="shared" si="7"/>
        <v>n.a.</v>
      </c>
      <c r="Q21" s="6" t="str">
        <f t="shared" si="7"/>
        <v>n.a.</v>
      </c>
      <c r="R21" s="6" t="str">
        <f t="shared" si="7"/>
        <v>n.a.</v>
      </c>
      <c r="S21" s="6" t="str">
        <f t="shared" si="7"/>
        <v>n.a.</v>
      </c>
      <c r="T21" s="6" t="str">
        <f t="shared" si="7"/>
        <v>n.a.</v>
      </c>
      <c r="U21" s="6" t="str">
        <f t="shared" si="7"/>
        <v>n.a.</v>
      </c>
      <c r="V21" s="6" t="str">
        <f t="shared" si="7"/>
        <v>n.a.</v>
      </c>
    </row>
    <row r="22" spans="2:34">
      <c r="B22" s="14"/>
      <c r="C22" s="14" t="s">
        <v>8</v>
      </c>
      <c r="D22" s="14"/>
      <c r="E22" s="6"/>
      <c r="F22" s="149">
        <f t="shared" ref="F22:K22" si="8">IF(ISERROR(F20/F$40),"n.a.",F20/F$40)</f>
        <v>0.76644736842105254</v>
      </c>
      <c r="G22" s="149">
        <f t="shared" si="8"/>
        <v>0.67466666666666697</v>
      </c>
      <c r="H22" s="149">
        <f t="shared" si="8"/>
        <v>0.74689826302729523</v>
      </c>
      <c r="I22" s="149">
        <f t="shared" si="8"/>
        <v>0.87534626038781183</v>
      </c>
      <c r="J22" s="149">
        <f t="shared" si="8"/>
        <v>0.93565683646112618</v>
      </c>
      <c r="K22" s="149">
        <f t="shared" si="8"/>
        <v>1.1612903225806452</v>
      </c>
      <c r="L22" s="405"/>
      <c r="M22" s="405"/>
      <c r="N22" s="405"/>
      <c r="O22" s="405"/>
      <c r="P22" s="405"/>
      <c r="Q22" s="390"/>
      <c r="R22" s="390"/>
      <c r="S22" s="390"/>
      <c r="T22" s="390"/>
      <c r="U22" s="390"/>
      <c r="V22" s="185">
        <v>0.95</v>
      </c>
      <c r="X22" s="268"/>
      <c r="Y22" s="391" t="s">
        <v>160</v>
      </c>
      <c r="Z22" s="391"/>
      <c r="AA22" s="391"/>
      <c r="AB22" s="391"/>
      <c r="AC22" s="391"/>
      <c r="AD22" s="391"/>
      <c r="AE22" s="391"/>
      <c r="AF22" s="391"/>
      <c r="AG22" s="391"/>
      <c r="AH22" s="391"/>
    </row>
    <row r="23" spans="2:34">
      <c r="B23" s="14"/>
      <c r="C23" s="14" t="s">
        <v>1</v>
      </c>
      <c r="D23" s="14"/>
      <c r="E23" s="6"/>
      <c r="F23" s="149">
        <f t="shared" ref="F23:V23" si="9">F20/F11*-1</f>
        <v>2.4795147387464082E-2</v>
      </c>
      <c r="G23" s="149">
        <f t="shared" si="9"/>
        <v>2.5176634490994141E-2</v>
      </c>
      <c r="H23" s="149">
        <f t="shared" si="9"/>
        <v>2.9466470876162502E-2</v>
      </c>
      <c r="I23" s="149">
        <f t="shared" si="9"/>
        <v>2.8858447488584484E-2</v>
      </c>
      <c r="J23" s="149">
        <f t="shared" si="9"/>
        <v>3.0746189763016483E-2</v>
      </c>
      <c r="K23" s="149">
        <f t="shared" si="9"/>
        <v>3.1617776216406115E-2</v>
      </c>
      <c r="L23" s="149" t="e">
        <f t="shared" si="9"/>
        <v>#DIV/0!</v>
      </c>
      <c r="M23" s="149" t="e">
        <f t="shared" si="9"/>
        <v>#VALUE!</v>
      </c>
      <c r="N23" s="149" t="e">
        <f t="shared" si="9"/>
        <v>#VALUE!</v>
      </c>
      <c r="O23" s="149" t="e">
        <f t="shared" si="9"/>
        <v>#VALUE!</v>
      </c>
      <c r="P23" s="149" t="e">
        <f t="shared" si="9"/>
        <v>#VALUE!</v>
      </c>
      <c r="Q23" s="149" t="e">
        <f t="shared" si="9"/>
        <v>#VALUE!</v>
      </c>
      <c r="R23" s="149" t="e">
        <f t="shared" si="9"/>
        <v>#VALUE!</v>
      </c>
      <c r="S23" s="149" t="e">
        <f t="shared" si="9"/>
        <v>#VALUE!</v>
      </c>
      <c r="T23" s="149" t="e">
        <f t="shared" si="9"/>
        <v>#VALUE!</v>
      </c>
      <c r="U23" s="149" t="e">
        <f t="shared" si="9"/>
        <v>#VALUE!</v>
      </c>
      <c r="V23" s="149" t="e">
        <f t="shared" si="9"/>
        <v>#VALUE!</v>
      </c>
    </row>
    <row r="24" spans="2:3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4">
      <c r="B25" s="5"/>
      <c r="C25" s="36" t="s">
        <v>5</v>
      </c>
      <c r="D25" s="36"/>
      <c r="E25" s="37"/>
      <c r="F25" s="133">
        <v>77.8</v>
      </c>
      <c r="G25" s="133">
        <v>84.6</v>
      </c>
      <c r="H25" s="133">
        <v>84.5</v>
      </c>
      <c r="I25" s="133">
        <v>77.099999999999994</v>
      </c>
      <c r="J25" s="133">
        <v>74.599999999999994</v>
      </c>
      <c r="K25" s="133">
        <v>62.2</v>
      </c>
      <c r="L25" s="125" t="e">
        <f>+L15+L20</f>
        <v>#VALUE!</v>
      </c>
      <c r="M25" s="125" t="e">
        <f>+M15+M20</f>
        <v>#VALUE!</v>
      </c>
      <c r="N25" s="125" t="e">
        <f>+N15+N20</f>
        <v>#VALUE!</v>
      </c>
      <c r="O25" s="125" t="e">
        <f>+O15+O20</f>
        <v>#VALUE!</v>
      </c>
      <c r="P25" s="125" t="e">
        <f>+P15+P20</f>
        <v>#VALUE!</v>
      </c>
      <c r="Q25" s="125" t="e">
        <f t="shared" ref="Q25:V25" si="10">Q15+Q20</f>
        <v>#VALUE!</v>
      </c>
      <c r="R25" s="125" t="e">
        <f t="shared" si="10"/>
        <v>#VALUE!</v>
      </c>
      <c r="S25" s="125" t="e">
        <f t="shared" si="10"/>
        <v>#VALUE!</v>
      </c>
      <c r="T25" s="125" t="e">
        <f t="shared" si="10"/>
        <v>#VALUE!</v>
      </c>
      <c r="U25" s="125" t="e">
        <f t="shared" si="10"/>
        <v>#VALUE!</v>
      </c>
      <c r="V25" s="125" t="e">
        <f t="shared" si="10"/>
        <v>#VALUE!</v>
      </c>
    </row>
    <row r="26" spans="2:34">
      <c r="B26" s="5"/>
      <c r="C26" s="14" t="s">
        <v>0</v>
      </c>
      <c r="D26" s="14"/>
      <c r="E26" s="6"/>
      <c r="F26" s="6" t="str">
        <f t="shared" ref="F26:V26" si="11">IF(ISERROR(F25/E25-1),"n.a.",F25/E25-1)</f>
        <v>n.a.</v>
      </c>
      <c r="G26" s="6">
        <f t="shared" si="11"/>
        <v>8.740359897172234E-2</v>
      </c>
      <c r="H26" s="6">
        <f t="shared" si="11"/>
        <v>-1.1820330969266601E-3</v>
      </c>
      <c r="I26" s="6">
        <f t="shared" si="11"/>
        <v>-8.7573964497041468E-2</v>
      </c>
      <c r="J26" s="6">
        <f t="shared" si="11"/>
        <v>-3.2425421530479892E-2</v>
      </c>
      <c r="K26" s="6">
        <f t="shared" si="11"/>
        <v>-0.16621983914209104</v>
      </c>
      <c r="L26" s="6" t="str">
        <f t="shared" si="11"/>
        <v>n.a.</v>
      </c>
      <c r="M26" s="6" t="str">
        <f t="shared" si="11"/>
        <v>n.a.</v>
      </c>
      <c r="N26" s="6" t="str">
        <f t="shared" si="11"/>
        <v>n.a.</v>
      </c>
      <c r="O26" s="6" t="str">
        <f t="shared" si="11"/>
        <v>n.a.</v>
      </c>
      <c r="P26" s="6" t="str">
        <f t="shared" si="11"/>
        <v>n.a.</v>
      </c>
      <c r="Q26" s="6" t="str">
        <f t="shared" si="11"/>
        <v>n.a.</v>
      </c>
      <c r="R26" s="6" t="str">
        <f t="shared" si="11"/>
        <v>n.a.</v>
      </c>
      <c r="S26" s="6" t="str">
        <f t="shared" si="11"/>
        <v>n.a.</v>
      </c>
      <c r="T26" s="6" t="str">
        <f t="shared" si="11"/>
        <v>n.a.</v>
      </c>
      <c r="U26" s="6" t="str">
        <f t="shared" si="11"/>
        <v>n.a.</v>
      </c>
      <c r="V26" s="6" t="str">
        <f t="shared" si="11"/>
        <v>n.a.</v>
      </c>
    </row>
    <row r="27" spans="2:34">
      <c r="B27" s="5"/>
      <c r="C27" s="14" t="s">
        <v>1</v>
      </c>
      <c r="D27" s="14"/>
      <c r="E27" s="6"/>
      <c r="F27" s="6">
        <f t="shared" ref="F27:Q27" si="12">IF(ISERROR(F25/F$11),"n.a.",F25/F$11)</f>
        <v>8.2792380546983069E-2</v>
      </c>
      <c r="G27" s="6">
        <f t="shared" si="12"/>
        <v>8.4187481341427006E-2</v>
      </c>
      <c r="H27" s="6">
        <f t="shared" si="12"/>
        <v>8.272148800783162E-2</v>
      </c>
      <c r="I27" s="6">
        <f t="shared" si="12"/>
        <v>7.0410958904109588E-2</v>
      </c>
      <c r="J27" s="6">
        <f t="shared" si="12"/>
        <v>6.5721081843009427E-2</v>
      </c>
      <c r="K27" s="6">
        <f t="shared" si="12"/>
        <v>5.4628491129457238E-2</v>
      </c>
      <c r="L27" s="6" t="str">
        <f t="shared" si="12"/>
        <v>n.a.</v>
      </c>
      <c r="M27" s="6" t="str">
        <f t="shared" si="12"/>
        <v>n.a.</v>
      </c>
      <c r="N27" s="6" t="str">
        <f t="shared" si="12"/>
        <v>n.a.</v>
      </c>
      <c r="O27" s="6" t="str">
        <f t="shared" si="12"/>
        <v>n.a.</v>
      </c>
      <c r="P27" s="6" t="str">
        <f t="shared" si="12"/>
        <v>n.a.</v>
      </c>
      <c r="Q27" s="6" t="str">
        <f t="shared" si="12"/>
        <v>n.a.</v>
      </c>
      <c r="R27" s="6" t="str">
        <f>IF(ISERROR(R25/R$11),"n.a.",R25/R$11)</f>
        <v>n.a.</v>
      </c>
      <c r="S27" s="6" t="str">
        <f>IF(ISERROR(S25/S$11),"n.a.",S25/S$11)</f>
        <v>n.a.</v>
      </c>
      <c r="T27" s="6" t="str">
        <f>IF(ISERROR(T25/T$11),"n.a.",T25/T$11)</f>
        <v>n.a.</v>
      </c>
      <c r="U27" s="6" t="str">
        <f>IF(ISERROR(U25/U$11),"n.a.",U25/U$11)</f>
        <v>n.a.</v>
      </c>
      <c r="V27" s="6" t="str">
        <f>IF(ISERROR(V25/V$11),"n.a.",V25/V$11)</f>
        <v>n.a.</v>
      </c>
    </row>
    <row r="28" spans="2:3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4" ht="12.75" customHeight="1">
      <c r="B29" s="5"/>
      <c r="C29" s="14" t="s">
        <v>6</v>
      </c>
      <c r="D29" s="14"/>
      <c r="E29" s="6"/>
      <c r="F29" s="135"/>
      <c r="G29" s="135"/>
      <c r="H29" s="135"/>
      <c r="I29" s="135"/>
      <c r="J29" s="135"/>
      <c r="K29" s="150">
        <v>0.19</v>
      </c>
      <c r="L29" s="150">
        <v>0.19</v>
      </c>
      <c r="M29" s="150">
        <v>0.17</v>
      </c>
      <c r="N29" s="390"/>
      <c r="O29" s="390"/>
      <c r="P29" s="390"/>
      <c r="Q29" s="390"/>
      <c r="R29" s="390"/>
      <c r="S29" s="390"/>
      <c r="T29" s="390"/>
      <c r="U29" s="390"/>
      <c r="V29" s="390"/>
      <c r="Y29" s="391" t="s">
        <v>156</v>
      </c>
      <c r="Z29" s="391"/>
      <c r="AA29" s="391"/>
      <c r="AB29" s="391"/>
      <c r="AC29" s="391"/>
      <c r="AD29" s="391"/>
      <c r="AE29" s="391"/>
      <c r="AF29" s="391"/>
      <c r="AG29" s="391"/>
      <c r="AH29" s="391"/>
    </row>
    <row r="30" spans="2:34" s="384" customFormat="1" ht="12.75" customHeight="1">
      <c r="B30" s="191"/>
      <c r="C30" s="385"/>
      <c r="D30" s="385"/>
      <c r="E30" s="386"/>
      <c r="F30" s="387"/>
      <c r="G30" s="387"/>
      <c r="H30" s="387"/>
      <c r="I30" s="387"/>
      <c r="J30" s="387"/>
      <c r="K30" s="388"/>
      <c r="L30" s="388"/>
      <c r="M30" s="388"/>
      <c r="N30" s="383"/>
      <c r="O30" s="383"/>
      <c r="P30" s="383"/>
      <c r="Q30" s="383"/>
      <c r="R30" s="383"/>
      <c r="S30" s="383"/>
      <c r="T30" s="383"/>
      <c r="U30" s="383"/>
      <c r="V30" s="383"/>
    </row>
    <row r="31" spans="2:34">
      <c r="B31" s="5" t="s">
        <v>152</v>
      </c>
      <c r="C31" s="36" t="s">
        <v>153</v>
      </c>
      <c r="D31" s="36"/>
      <c r="E31" s="37"/>
      <c r="F31" s="133">
        <v>55.5</v>
      </c>
      <c r="G31" s="133">
        <v>65.8</v>
      </c>
      <c r="H31" s="133">
        <v>64.900000000000006</v>
      </c>
      <c r="I31" s="133">
        <v>59.5</v>
      </c>
      <c r="J31" s="133">
        <v>58.4</v>
      </c>
      <c r="K31" s="133">
        <v>48.3</v>
      </c>
      <c r="L31" s="139">
        <f>+('Company fin forecasts'!B13+'Company fin forecasts'!I13)*(1-L29)</f>
        <v>44.483575352980296</v>
      </c>
      <c r="M31" s="139">
        <f>+('Company fin forecasts'!C13+'Company fin forecasts'!J13)*(1-M29)</f>
        <v>39.898109599091057</v>
      </c>
      <c r="N31" s="139">
        <f>+('Company fin forecasts'!D13+'Company fin forecasts'!K13)*(1-N29)</f>
        <v>60.5014786213832</v>
      </c>
      <c r="O31" s="139">
        <f>+('Company fin forecasts'!E13+'Company fin forecasts'!L13)*(1-O29)</f>
        <v>68.465397431638422</v>
      </c>
      <c r="P31" s="139">
        <f>+('Company fin forecasts'!F13+'Company fin forecasts'!M13)*(1-P29)</f>
        <v>68.668217212764603</v>
      </c>
      <c r="Q31" s="5"/>
      <c r="R31" s="5"/>
      <c r="S31" s="5"/>
      <c r="T31" s="5"/>
      <c r="U31" s="5"/>
      <c r="V31" s="5"/>
    </row>
    <row r="32" spans="2:34">
      <c r="B32" s="5"/>
      <c r="C32" s="14" t="s">
        <v>0</v>
      </c>
      <c r="D32" s="14"/>
      <c r="E32" s="6"/>
      <c r="F32" s="6" t="str">
        <f t="shared" ref="F32:P32" si="13">IF(ISERROR(F31/E31-1),"n.a.",F31/E31-1)</f>
        <v>n.a.</v>
      </c>
      <c r="G32" s="6">
        <f t="shared" si="13"/>
        <v>0.18558558558558547</v>
      </c>
      <c r="H32" s="6">
        <f t="shared" si="13"/>
        <v>-1.3677811550151797E-2</v>
      </c>
      <c r="I32" s="6">
        <f t="shared" si="13"/>
        <v>-8.3204930662557852E-2</v>
      </c>
      <c r="J32" s="6">
        <f t="shared" si="13"/>
        <v>-1.8487394957983239E-2</v>
      </c>
      <c r="K32" s="6">
        <f t="shared" si="13"/>
        <v>-0.17294520547945214</v>
      </c>
      <c r="L32" s="6">
        <f t="shared" si="13"/>
        <v>-7.9015003043886201E-2</v>
      </c>
      <c r="M32" s="6">
        <f t="shared" si="13"/>
        <v>-0.10308222119070343</v>
      </c>
      <c r="N32" s="6">
        <f t="shared" si="13"/>
        <v>0.5163996296897615</v>
      </c>
      <c r="O32" s="6">
        <f t="shared" si="13"/>
        <v>0.13163180457279799</v>
      </c>
      <c r="P32" s="6">
        <f t="shared" si="13"/>
        <v>2.9623691490097137E-3</v>
      </c>
      <c r="Q32" s="389"/>
      <c r="R32" s="389"/>
      <c r="S32" s="389"/>
      <c r="T32" s="5"/>
      <c r="U32" s="5"/>
      <c r="V32" s="5"/>
    </row>
    <row r="33" spans="2:34">
      <c r="B33" s="5"/>
      <c r="C33" s="14" t="s">
        <v>1</v>
      </c>
      <c r="D33" s="14"/>
      <c r="E33" s="6"/>
      <c r="F33" s="6">
        <f t="shared" ref="F33:P33" si="14">IF(ISERROR(F31/F$11),"n.a.",F31/F$11)</f>
        <v>5.9061402575289981E-2</v>
      </c>
      <c r="G33" s="6">
        <f t="shared" si="14"/>
        <v>6.5479152154443221E-2</v>
      </c>
      <c r="H33" s="6">
        <f t="shared" si="14"/>
        <v>6.35340186000979E-2</v>
      </c>
      <c r="I33" s="6">
        <f t="shared" si="14"/>
        <v>5.4337899543378997E-2</v>
      </c>
      <c r="J33" s="6">
        <f t="shared" si="14"/>
        <v>5.1449211523213814E-2</v>
      </c>
      <c r="K33" s="6">
        <f>IF(ISERROR(K31/K$11),"n.a.",K31/K$11)</f>
        <v>4.2420516423678202E-2</v>
      </c>
      <c r="L33" s="6" t="str">
        <f t="shared" si="14"/>
        <v>n.a.</v>
      </c>
      <c r="M33" s="6" t="str">
        <f t="shared" si="14"/>
        <v>n.a.</v>
      </c>
      <c r="N33" s="6" t="str">
        <f t="shared" si="14"/>
        <v>n.a.</v>
      </c>
      <c r="O33" s="6" t="str">
        <f t="shared" si="14"/>
        <v>n.a.</v>
      </c>
      <c r="P33" s="6" t="str">
        <f t="shared" si="14"/>
        <v>n.a.</v>
      </c>
      <c r="Q33" s="5"/>
      <c r="R33" s="5"/>
      <c r="S33" s="5"/>
      <c r="T33" s="5"/>
      <c r="U33" s="5"/>
      <c r="V33" s="5"/>
    </row>
    <row r="34" spans="2:34">
      <c r="B34" s="5"/>
      <c r="C34" s="136"/>
      <c r="D34" s="136"/>
      <c r="E34" s="137"/>
      <c r="F34" s="186"/>
      <c r="G34" s="186"/>
      <c r="H34" s="186"/>
      <c r="I34" s="186"/>
      <c r="J34" s="186"/>
      <c r="K34" s="186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</row>
    <row r="35" spans="2:34">
      <c r="B35" s="5"/>
      <c r="C35" s="136"/>
      <c r="D35" s="136"/>
      <c r="E35" s="137"/>
      <c r="F35" s="186"/>
      <c r="G35" s="186"/>
      <c r="H35" s="186"/>
      <c r="I35" s="186"/>
      <c r="J35" s="186"/>
      <c r="K35" s="186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</row>
    <row r="36" spans="2:34">
      <c r="B36" s="5"/>
      <c r="C36" s="136"/>
      <c r="D36" s="136"/>
      <c r="E36" s="137"/>
      <c r="F36" s="186"/>
      <c r="G36" s="186"/>
      <c r="H36" s="186"/>
      <c r="I36" s="186"/>
      <c r="J36" s="186"/>
      <c r="K36" s="186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</row>
    <row r="37" spans="2:34" ht="12.75" customHeight="1">
      <c r="B37" s="5"/>
      <c r="C37" s="5"/>
      <c r="D37" s="5"/>
      <c r="E37" s="5"/>
      <c r="F37" s="134"/>
      <c r="G37" s="134"/>
      <c r="H37" s="134"/>
      <c r="I37" s="134"/>
      <c r="J37" s="134"/>
      <c r="K37" s="134"/>
      <c r="L37" s="5"/>
      <c r="M37" s="5"/>
      <c r="N37" s="5"/>
      <c r="O37" s="5"/>
      <c r="P37" s="5"/>
      <c r="S37" s="5"/>
      <c r="T37" s="5"/>
      <c r="U37" s="5"/>
      <c r="V37" s="5"/>
    </row>
    <row r="38" spans="2:34">
      <c r="B38" s="5"/>
      <c r="C38" s="17" t="s">
        <v>15</v>
      </c>
      <c r="D38" s="18"/>
      <c r="E38" s="19"/>
      <c r="F38" s="20"/>
      <c r="G38" s="20"/>
      <c r="H38" s="20"/>
      <c r="I38" s="20"/>
      <c r="J38" s="20"/>
      <c r="K38" s="20"/>
      <c r="L38" s="21"/>
      <c r="M38" s="21"/>
      <c r="N38" s="22"/>
      <c r="O38" s="21"/>
      <c r="P38" s="21"/>
      <c r="Q38" s="21"/>
      <c r="R38" s="21"/>
      <c r="S38" s="26"/>
      <c r="T38" s="21"/>
      <c r="U38" s="21"/>
      <c r="V38" s="23"/>
      <c r="W38" s="6"/>
    </row>
    <row r="39" spans="2:34">
      <c r="B39" s="5"/>
      <c r="C39" s="5"/>
      <c r="D39" s="5"/>
      <c r="E39" s="5"/>
      <c r="F39" s="5"/>
      <c r="G39" s="5"/>
      <c r="H39" s="5"/>
      <c r="I39" s="5"/>
      <c r="J39" s="191"/>
      <c r="K39" s="191"/>
      <c r="L39" s="191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4">
      <c r="B40" s="5"/>
      <c r="C40" s="36" t="s">
        <v>7</v>
      </c>
      <c r="D40" s="36"/>
      <c r="E40" s="37"/>
      <c r="F40" s="133">
        <v>-30.4</v>
      </c>
      <c r="G40" s="133">
        <v>-37.5</v>
      </c>
      <c r="H40" s="133">
        <v>-40.299999999999997</v>
      </c>
      <c r="I40" s="133">
        <v>-36.1</v>
      </c>
      <c r="J40" s="133">
        <v>-37.299999999999997</v>
      </c>
      <c r="K40" s="133">
        <v>-31</v>
      </c>
      <c r="L40" s="404"/>
      <c r="M40" s="404"/>
      <c r="N40" s="404"/>
      <c r="O40" s="404"/>
      <c r="P40" s="404"/>
      <c r="Q40" s="392"/>
      <c r="R40" s="392"/>
      <c r="S40" s="392"/>
      <c r="T40" s="392"/>
      <c r="U40" s="392"/>
      <c r="V40" s="392"/>
      <c r="Y40" s="391" t="s">
        <v>163</v>
      </c>
      <c r="Z40" s="391"/>
      <c r="AA40" s="391"/>
      <c r="AB40" s="391"/>
      <c r="AC40" s="391"/>
      <c r="AD40" s="391"/>
      <c r="AE40" s="391"/>
      <c r="AF40" s="391"/>
      <c r="AG40" s="391"/>
      <c r="AH40" s="391"/>
    </row>
    <row r="41" spans="2:34">
      <c r="B41" s="5"/>
      <c r="C41" s="14" t="s">
        <v>0</v>
      </c>
      <c r="D41" s="14"/>
      <c r="E41" s="6"/>
      <c r="F41" s="6" t="str">
        <f t="shared" ref="F41" si="15">IF(ISERROR(F40/E40-1),"n.a.",F40/E40-1)</f>
        <v>n.a.</v>
      </c>
      <c r="G41" s="6">
        <f>IF(ISERROR(G40/F40-1),"n.a.",G40/F40-1)</f>
        <v>0.23355263157894735</v>
      </c>
      <c r="H41" s="6">
        <f t="shared" ref="H41:V41" si="16">IF(ISERROR(H40/G40-1),"n.a.",H40/G40-1)</f>
        <v>7.4666666666666659E-2</v>
      </c>
      <c r="I41" s="6">
        <f t="shared" si="16"/>
        <v>-0.10421836228287829</v>
      </c>
      <c r="J41" s="6">
        <f t="shared" si="16"/>
        <v>3.3240997229916802E-2</v>
      </c>
      <c r="K41" s="6">
        <f t="shared" si="16"/>
        <v>-0.16890080428954413</v>
      </c>
      <c r="L41" s="6">
        <f t="shared" si="16"/>
        <v>-1</v>
      </c>
      <c r="M41" s="6" t="str">
        <f t="shared" si="16"/>
        <v>n.a.</v>
      </c>
      <c r="N41" s="6" t="str">
        <f t="shared" si="16"/>
        <v>n.a.</v>
      </c>
      <c r="O41" s="6" t="str">
        <f t="shared" si="16"/>
        <v>n.a.</v>
      </c>
      <c r="P41" s="6" t="str">
        <f t="shared" si="16"/>
        <v>n.a.</v>
      </c>
      <c r="Q41" s="6" t="str">
        <f t="shared" si="16"/>
        <v>n.a.</v>
      </c>
      <c r="R41" s="6" t="str">
        <f t="shared" si="16"/>
        <v>n.a.</v>
      </c>
      <c r="S41" s="6" t="str">
        <f t="shared" si="16"/>
        <v>n.a.</v>
      </c>
      <c r="T41" s="6" t="str">
        <f t="shared" si="16"/>
        <v>n.a.</v>
      </c>
      <c r="U41" s="6" t="str">
        <f t="shared" si="16"/>
        <v>n.a.</v>
      </c>
      <c r="V41" s="6" t="str">
        <f t="shared" si="16"/>
        <v>n.a.</v>
      </c>
    </row>
    <row r="42" spans="2:34" ht="12.75" customHeight="1">
      <c r="B42" s="14"/>
      <c r="C42" s="14" t="s">
        <v>24</v>
      </c>
      <c r="D42" s="14"/>
      <c r="E42" s="6"/>
      <c r="F42" s="149">
        <f t="shared" ref="F42:V42" si="17">IF(ISERROR(-F40/F$11),"n.a.",-F40/F$11)</f>
        <v>3.2350750239438113E-2</v>
      </c>
      <c r="G42" s="149">
        <f t="shared" si="17"/>
        <v>3.7317145984675094E-2</v>
      </c>
      <c r="H42" s="149">
        <f t="shared" si="17"/>
        <v>3.9451786588350461E-2</v>
      </c>
      <c r="I42" s="149">
        <f t="shared" si="17"/>
        <v>3.2968036529680368E-2</v>
      </c>
      <c r="J42" s="149">
        <f t="shared" si="17"/>
        <v>3.2860540921504713E-2</v>
      </c>
      <c r="K42" s="149">
        <f t="shared" si="17"/>
        <v>2.7226418408571932E-2</v>
      </c>
      <c r="L42" s="149" t="str">
        <f t="shared" si="17"/>
        <v>n.a.</v>
      </c>
      <c r="M42" s="149" t="str">
        <f t="shared" si="17"/>
        <v>n.a.</v>
      </c>
      <c r="N42" s="149" t="str">
        <f t="shared" si="17"/>
        <v>n.a.</v>
      </c>
      <c r="O42" s="149" t="str">
        <f t="shared" si="17"/>
        <v>n.a.</v>
      </c>
      <c r="P42" s="149" t="str">
        <f t="shared" si="17"/>
        <v>n.a.</v>
      </c>
      <c r="Q42" s="149" t="str">
        <f t="shared" si="17"/>
        <v>n.a.</v>
      </c>
      <c r="R42" s="149" t="str">
        <f t="shared" si="17"/>
        <v>n.a.</v>
      </c>
      <c r="S42" s="149" t="str">
        <f t="shared" si="17"/>
        <v>n.a.</v>
      </c>
      <c r="T42" s="149" t="str">
        <f t="shared" si="17"/>
        <v>n.a.</v>
      </c>
      <c r="U42" s="149" t="str">
        <f t="shared" si="17"/>
        <v>n.a.</v>
      </c>
      <c r="V42" s="149" t="str">
        <f t="shared" si="17"/>
        <v>n.a.</v>
      </c>
    </row>
    <row r="43" spans="2:34">
      <c r="B43" s="14"/>
      <c r="C43" s="14" t="s">
        <v>128</v>
      </c>
      <c r="D43" s="14"/>
      <c r="E43" s="6"/>
      <c r="F43" s="6">
        <f t="shared" ref="F43:V43" si="18">(F15+F40)/F15</f>
        <v>0.69930761622156279</v>
      </c>
      <c r="G43" s="6">
        <f t="shared" si="18"/>
        <v>0.65878070973612379</v>
      </c>
      <c r="H43" s="6">
        <f t="shared" si="18"/>
        <v>0.64834205933682376</v>
      </c>
      <c r="I43" s="6">
        <f t="shared" si="18"/>
        <v>0.66789328426862915</v>
      </c>
      <c r="J43" s="6">
        <f t="shared" si="18"/>
        <v>0.65936073059360734</v>
      </c>
      <c r="K43" s="6">
        <f t="shared" si="18"/>
        <v>0.68431771894093685</v>
      </c>
      <c r="L43" s="6" t="e">
        <f t="shared" si="18"/>
        <v>#VALUE!</v>
      </c>
      <c r="M43" s="6" t="e">
        <f t="shared" si="18"/>
        <v>#VALUE!</v>
      </c>
      <c r="N43" s="6" t="e">
        <f t="shared" si="18"/>
        <v>#VALUE!</v>
      </c>
      <c r="O43" s="6" t="e">
        <f t="shared" si="18"/>
        <v>#VALUE!</v>
      </c>
      <c r="P43" s="6" t="e">
        <f t="shared" si="18"/>
        <v>#VALUE!</v>
      </c>
      <c r="Q43" s="6" t="e">
        <f t="shared" si="18"/>
        <v>#VALUE!</v>
      </c>
      <c r="R43" s="6" t="e">
        <f t="shared" si="18"/>
        <v>#VALUE!</v>
      </c>
      <c r="S43" s="6" t="e">
        <f t="shared" si="18"/>
        <v>#VALUE!</v>
      </c>
      <c r="T43" s="6" t="e">
        <f t="shared" si="18"/>
        <v>#VALUE!</v>
      </c>
      <c r="U43" s="6" t="e">
        <f t="shared" si="18"/>
        <v>#VALUE!</v>
      </c>
      <c r="V43" s="6" t="e">
        <f t="shared" si="18"/>
        <v>#VALUE!</v>
      </c>
    </row>
    <row r="44" spans="2:3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4">
      <c r="C45" s="36" t="s">
        <v>26</v>
      </c>
      <c r="D45" s="36"/>
      <c r="E45" s="37"/>
      <c r="F45" s="133">
        <f>-17+1+10.7</f>
        <v>-5.3000000000000007</v>
      </c>
      <c r="G45" s="133">
        <f>0.9-3+27.2</f>
        <v>25.099999999999998</v>
      </c>
      <c r="H45" s="133">
        <f>-8.6-4.9+2.3</f>
        <v>-11.2</v>
      </c>
      <c r="I45" s="133">
        <f>-33.2+2.3+14.6</f>
        <v>-16.300000000000004</v>
      </c>
      <c r="J45" s="133">
        <f>-4.4+2.4-10.6</f>
        <v>-12.6</v>
      </c>
      <c r="K45" s="133">
        <f>11.9-3.1-19.2</f>
        <v>-10.399999999999999</v>
      </c>
      <c r="L45" s="404"/>
      <c r="M45" s="404"/>
      <c r="N45" s="404"/>
      <c r="O45" s="404"/>
      <c r="P45" s="404"/>
      <c r="Q45" s="125" t="e">
        <f t="shared" ref="Q45:V45" si="19">Q47*Q11</f>
        <v>#VALUE!</v>
      </c>
      <c r="R45" s="125" t="e">
        <f t="shared" si="19"/>
        <v>#VALUE!</v>
      </c>
      <c r="S45" s="125" t="e">
        <f t="shared" si="19"/>
        <v>#VALUE!</v>
      </c>
      <c r="T45" s="125" t="e">
        <f t="shared" si="19"/>
        <v>#VALUE!</v>
      </c>
      <c r="U45" s="125" t="e">
        <f t="shared" si="19"/>
        <v>#VALUE!</v>
      </c>
      <c r="V45" s="125" t="e">
        <f t="shared" si="19"/>
        <v>#VALUE!</v>
      </c>
      <c r="Y45" s="391" t="s">
        <v>161</v>
      </c>
      <c r="Z45" s="391"/>
      <c r="AA45" s="391"/>
      <c r="AB45" s="391"/>
      <c r="AC45" s="391"/>
      <c r="AD45" s="391"/>
      <c r="AE45" s="391"/>
      <c r="AF45" s="391"/>
      <c r="AG45" s="391"/>
      <c r="AH45" s="391"/>
    </row>
    <row r="46" spans="2:34">
      <c r="C46" s="138" t="s">
        <v>0</v>
      </c>
      <c r="D46" s="136"/>
      <c r="E46" s="137"/>
      <c r="F46" s="6" t="str">
        <f t="shared" ref="F46:V46" si="20">IF(ISERROR(F45/E45-1),"n.a.",F45/E45-1)</f>
        <v>n.a.</v>
      </c>
      <c r="G46" s="6">
        <f t="shared" si="20"/>
        <v>-5.7358490566037723</v>
      </c>
      <c r="H46" s="6">
        <f t="shared" si="20"/>
        <v>-1.4462151394422311</v>
      </c>
      <c r="I46" s="6">
        <f t="shared" si="20"/>
        <v>0.45535714285714324</v>
      </c>
      <c r="J46" s="6">
        <f t="shared" si="20"/>
        <v>-0.22699386503067509</v>
      </c>
      <c r="K46" s="6">
        <f t="shared" si="20"/>
        <v>-0.17460317460317465</v>
      </c>
      <c r="L46" s="6">
        <f t="shared" si="20"/>
        <v>-1</v>
      </c>
      <c r="M46" s="6" t="str">
        <f t="shared" si="20"/>
        <v>n.a.</v>
      </c>
      <c r="N46" s="6" t="str">
        <f t="shared" si="20"/>
        <v>n.a.</v>
      </c>
      <c r="O46" s="6" t="str">
        <f t="shared" si="20"/>
        <v>n.a.</v>
      </c>
      <c r="P46" s="6" t="str">
        <f t="shared" si="20"/>
        <v>n.a.</v>
      </c>
      <c r="Q46" s="6" t="str">
        <f t="shared" si="20"/>
        <v>n.a.</v>
      </c>
      <c r="R46" s="6" t="str">
        <f t="shared" si="20"/>
        <v>n.a.</v>
      </c>
      <c r="S46" s="6" t="str">
        <f t="shared" si="20"/>
        <v>n.a.</v>
      </c>
      <c r="T46" s="6" t="str">
        <f t="shared" si="20"/>
        <v>n.a.</v>
      </c>
      <c r="U46" s="6" t="str">
        <f t="shared" si="20"/>
        <v>n.a.</v>
      </c>
      <c r="V46" s="6" t="str">
        <f t="shared" si="20"/>
        <v>n.a.</v>
      </c>
    </row>
    <row r="47" spans="2:34">
      <c r="C47" s="14" t="s">
        <v>24</v>
      </c>
      <c r="D47" s="14"/>
      <c r="E47" s="6"/>
      <c r="F47" s="6">
        <f t="shared" ref="F47:P47" si="21">IF(ISERROR(F45/F$11),"n.a.",F45/F$11)</f>
        <v>-5.6400979035862511E-3</v>
      </c>
      <c r="G47" s="6">
        <f t="shared" si="21"/>
        <v>2.4977609712409192E-2</v>
      </c>
      <c r="H47" s="6">
        <f t="shared" si="21"/>
        <v>-1.0964268232990699E-2</v>
      </c>
      <c r="I47" s="6">
        <f t="shared" si="21"/>
        <v>-1.4885844748858451E-2</v>
      </c>
      <c r="J47" s="6">
        <f t="shared" si="21"/>
        <v>-1.1100343582063256E-2</v>
      </c>
      <c r="K47" s="6">
        <f t="shared" si="21"/>
        <v>-9.1340242402950991E-3</v>
      </c>
      <c r="L47" s="6" t="str">
        <f t="shared" si="21"/>
        <v>n.a.</v>
      </c>
      <c r="M47" s="6" t="str">
        <f t="shared" si="21"/>
        <v>n.a.</v>
      </c>
      <c r="N47" s="6" t="str">
        <f t="shared" si="21"/>
        <v>n.a.</v>
      </c>
      <c r="O47" s="6" t="str">
        <f t="shared" si="21"/>
        <v>n.a.</v>
      </c>
      <c r="P47" s="6" t="str">
        <f t="shared" si="21"/>
        <v>n.a.</v>
      </c>
      <c r="Q47" s="150">
        <v>0</v>
      </c>
      <c r="R47" s="6">
        <f t="shared" ref="R47:V47" si="22">Q47</f>
        <v>0</v>
      </c>
      <c r="S47" s="6">
        <f t="shared" si="22"/>
        <v>0</v>
      </c>
      <c r="T47" s="6">
        <f t="shared" si="22"/>
        <v>0</v>
      </c>
      <c r="U47" s="6">
        <f t="shared" si="22"/>
        <v>0</v>
      </c>
      <c r="V47" s="6">
        <f t="shared" si="22"/>
        <v>0</v>
      </c>
    </row>
    <row r="48" spans="2:34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4">
      <c r="B49" s="5"/>
      <c r="C49" s="36" t="s">
        <v>130</v>
      </c>
      <c r="D49" s="36"/>
      <c r="E49" s="37"/>
      <c r="F49" s="133"/>
      <c r="G49" s="133"/>
      <c r="H49" s="133"/>
      <c r="I49" s="133"/>
      <c r="J49" s="133">
        <v>-1.5</v>
      </c>
      <c r="K49" s="133">
        <v>0.74</v>
      </c>
      <c r="L49" s="404"/>
      <c r="M49" s="404"/>
      <c r="N49" s="404"/>
      <c r="O49" s="404"/>
      <c r="P49" s="404"/>
      <c r="Q49" s="392"/>
      <c r="R49" s="392"/>
      <c r="S49" s="392"/>
      <c r="T49" s="392"/>
      <c r="U49" s="392"/>
      <c r="V49" s="392"/>
      <c r="Y49" s="391" t="s">
        <v>162</v>
      </c>
      <c r="Z49" s="391"/>
      <c r="AA49" s="391"/>
      <c r="AB49" s="391"/>
      <c r="AC49" s="391"/>
      <c r="AD49" s="391"/>
      <c r="AE49" s="391"/>
      <c r="AF49" s="391"/>
      <c r="AG49" s="391"/>
      <c r="AH49" s="391"/>
    </row>
    <row r="50" spans="2:34">
      <c r="B50" s="5"/>
      <c r="C50" s="14" t="s">
        <v>0</v>
      </c>
      <c r="D50" s="14"/>
      <c r="E50" s="6"/>
      <c r="F50" s="6" t="str">
        <f t="shared" ref="F50" si="23">IF(ISERROR(F49/E49-1),"n.a.",F49/E49-1)</f>
        <v>n.a.</v>
      </c>
      <c r="G50" s="6" t="str">
        <f>IF(ISERROR(G49/F49-1),"n.a.",G49/F49-1)</f>
        <v>n.a.</v>
      </c>
      <c r="H50" s="6" t="str">
        <f t="shared" ref="H50" si="24">IF(ISERROR(H49/G49-1),"n.a.",H49/G49-1)</f>
        <v>n.a.</v>
      </c>
      <c r="I50" s="6" t="str">
        <f t="shared" ref="I50" si="25">IF(ISERROR(I49/H49-1),"n.a.",I49/H49-1)</f>
        <v>n.a.</v>
      </c>
      <c r="J50" s="6" t="str">
        <f t="shared" ref="J50" si="26">IF(ISERROR(J49/I49-1),"n.a.",J49/I49-1)</f>
        <v>n.a.</v>
      </c>
      <c r="K50" s="6">
        <f t="shared" ref="K50" si="27">IF(ISERROR(K49/J49-1),"n.a.",K49/J49-1)</f>
        <v>-1.4933333333333334</v>
      </c>
      <c r="L50" s="6">
        <f t="shared" ref="L50" si="28">IF(ISERROR(L49/K49-1),"n.a.",L49/K49-1)</f>
        <v>-1</v>
      </c>
      <c r="M50" s="6" t="str">
        <f t="shared" ref="M50" si="29">IF(ISERROR(M49/L49-1),"n.a.",M49/L49-1)</f>
        <v>n.a.</v>
      </c>
      <c r="N50" s="6" t="str">
        <f t="shared" ref="N50" si="30">IF(ISERROR(N49/M49-1),"n.a.",N49/M49-1)</f>
        <v>n.a.</v>
      </c>
      <c r="O50" s="6" t="str">
        <f t="shared" ref="O50" si="31">IF(ISERROR(O49/N49-1),"n.a.",O49/N49-1)</f>
        <v>n.a.</v>
      </c>
      <c r="P50" s="6" t="str">
        <f t="shared" ref="P50" si="32">IF(ISERROR(P49/O49-1),"n.a.",P49/O49-1)</f>
        <v>n.a.</v>
      </c>
      <c r="Q50" s="6" t="str">
        <f t="shared" ref="Q50" si="33">IF(ISERROR(Q49/P49-1),"n.a.",Q49/P49-1)</f>
        <v>n.a.</v>
      </c>
      <c r="R50" s="6" t="str">
        <f t="shared" ref="R50" si="34">IF(ISERROR(R49/Q49-1),"n.a.",R49/Q49-1)</f>
        <v>n.a.</v>
      </c>
      <c r="S50" s="6" t="str">
        <f t="shared" ref="S50" si="35">IF(ISERROR(S49/R49-1),"n.a.",S49/R49-1)</f>
        <v>n.a.</v>
      </c>
      <c r="T50" s="6" t="str">
        <f t="shared" ref="T50" si="36">IF(ISERROR(T49/S49-1),"n.a.",T49/S49-1)</f>
        <v>n.a.</v>
      </c>
      <c r="U50" s="6" t="str">
        <f t="shared" ref="U50" si="37">IF(ISERROR(U49/T49-1),"n.a.",U49/T49-1)</f>
        <v>n.a.</v>
      </c>
      <c r="V50" s="6" t="str">
        <f t="shared" ref="V50" si="38">IF(ISERROR(V49/U49-1),"n.a.",V49/U49-1)</f>
        <v>n.a.</v>
      </c>
    </row>
    <row r="51" spans="2:34" ht="12.75" customHeight="1">
      <c r="B51" s="14"/>
      <c r="C51" s="14" t="s">
        <v>24</v>
      </c>
      <c r="D51" s="14"/>
      <c r="E51" s="6"/>
      <c r="F51" s="149">
        <f t="shared" ref="F51:V51" si="39">IF(ISERROR(-F49/F$11),"n.a.",-F49/F$11)</f>
        <v>0</v>
      </c>
      <c r="G51" s="149">
        <f t="shared" si="39"/>
        <v>0</v>
      </c>
      <c r="H51" s="149">
        <f t="shared" si="39"/>
        <v>0</v>
      </c>
      <c r="I51" s="149">
        <f t="shared" si="39"/>
        <v>0</v>
      </c>
      <c r="J51" s="149">
        <f t="shared" si="39"/>
        <v>1.3214694740551493E-3</v>
      </c>
      <c r="K51" s="149">
        <f t="shared" si="39"/>
        <v>-6.4992095555945904E-4</v>
      </c>
      <c r="L51" s="149" t="str">
        <f t="shared" si="39"/>
        <v>n.a.</v>
      </c>
      <c r="M51" s="149" t="str">
        <f t="shared" si="39"/>
        <v>n.a.</v>
      </c>
      <c r="N51" s="149" t="str">
        <f t="shared" si="39"/>
        <v>n.a.</v>
      </c>
      <c r="O51" s="149" t="str">
        <f t="shared" si="39"/>
        <v>n.a.</v>
      </c>
      <c r="P51" s="149" t="str">
        <f t="shared" si="39"/>
        <v>n.a.</v>
      </c>
      <c r="Q51" s="149" t="str">
        <f t="shared" si="39"/>
        <v>n.a.</v>
      </c>
      <c r="R51" s="149" t="str">
        <f t="shared" si="39"/>
        <v>n.a.</v>
      </c>
      <c r="S51" s="149" t="str">
        <f t="shared" si="39"/>
        <v>n.a.</v>
      </c>
      <c r="T51" s="149" t="str">
        <f t="shared" si="39"/>
        <v>n.a.</v>
      </c>
      <c r="U51" s="149" t="str">
        <f t="shared" si="39"/>
        <v>n.a.</v>
      </c>
      <c r="V51" s="149" t="str">
        <f t="shared" si="39"/>
        <v>n.a.</v>
      </c>
    </row>
    <row r="52" spans="2:34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4">
      <c r="B53" s="5"/>
      <c r="C53" s="36" t="s">
        <v>131</v>
      </c>
      <c r="D53" s="36"/>
      <c r="E53" s="37"/>
      <c r="F53" s="133"/>
      <c r="G53" s="133"/>
      <c r="H53" s="133"/>
      <c r="I53" s="133"/>
      <c r="J53" s="133">
        <v>0</v>
      </c>
      <c r="K53" s="133">
        <v>0</v>
      </c>
      <c r="L53" s="404"/>
      <c r="M53" s="404"/>
      <c r="N53" s="404"/>
      <c r="O53" s="404"/>
      <c r="P53" s="404"/>
      <c r="Q53" s="133">
        <v>0</v>
      </c>
      <c r="R53" s="133">
        <f t="shared" ref="R53:V53" si="40">+Q53</f>
        <v>0</v>
      </c>
      <c r="S53" s="133">
        <f t="shared" si="40"/>
        <v>0</v>
      </c>
      <c r="T53" s="133">
        <f t="shared" si="40"/>
        <v>0</v>
      </c>
      <c r="U53" s="133">
        <f t="shared" si="40"/>
        <v>0</v>
      </c>
      <c r="V53" s="133">
        <f t="shared" si="40"/>
        <v>0</v>
      </c>
      <c r="Y53" s="391" t="s">
        <v>159</v>
      </c>
      <c r="Z53" s="391"/>
      <c r="AA53" s="391"/>
      <c r="AB53" s="391"/>
      <c r="AC53" s="391"/>
      <c r="AD53" s="391"/>
      <c r="AE53" s="391"/>
      <c r="AF53" s="391"/>
      <c r="AG53" s="391"/>
      <c r="AH53" s="391"/>
    </row>
    <row r="54" spans="2:34">
      <c r="B54" s="5"/>
      <c r="C54" s="14" t="s">
        <v>0</v>
      </c>
      <c r="D54" s="14"/>
      <c r="E54" s="6"/>
      <c r="F54" s="6" t="str">
        <f t="shared" ref="F54" si="41">IF(ISERROR(F53/E53-1),"n.a.",F53/E53-1)</f>
        <v>n.a.</v>
      </c>
      <c r="G54" s="6" t="str">
        <f>IF(ISERROR(G53/F53-1),"n.a.",G53/F53-1)</f>
        <v>n.a.</v>
      </c>
      <c r="H54" s="6" t="str">
        <f t="shared" ref="H54" si="42">IF(ISERROR(H53/G53-1),"n.a.",H53/G53-1)</f>
        <v>n.a.</v>
      </c>
      <c r="I54" s="6" t="str">
        <f t="shared" ref="I54" si="43">IF(ISERROR(I53/H53-1),"n.a.",I53/H53-1)</f>
        <v>n.a.</v>
      </c>
      <c r="J54" s="6" t="str">
        <f t="shared" ref="J54" si="44">IF(ISERROR(J53/I53-1),"n.a.",J53/I53-1)</f>
        <v>n.a.</v>
      </c>
      <c r="K54" s="6" t="str">
        <f t="shared" ref="K54" si="45">IF(ISERROR(K53/J53-1),"n.a.",K53/J53-1)</f>
        <v>n.a.</v>
      </c>
      <c r="L54" s="6" t="str">
        <f t="shared" ref="L54" si="46">IF(ISERROR(L53/K53-1),"n.a.",L53/K53-1)</f>
        <v>n.a.</v>
      </c>
      <c r="M54" s="6" t="str">
        <f t="shared" ref="M54" si="47">IF(ISERROR(M53/L53-1),"n.a.",M53/L53-1)</f>
        <v>n.a.</v>
      </c>
      <c r="N54" s="6" t="str">
        <f t="shared" ref="N54" si="48">IF(ISERROR(N53/M53-1),"n.a.",N53/M53-1)</f>
        <v>n.a.</v>
      </c>
      <c r="O54" s="6" t="str">
        <f t="shared" ref="O54" si="49">IF(ISERROR(O53/N53-1),"n.a.",O53/N53-1)</f>
        <v>n.a.</v>
      </c>
      <c r="P54" s="6" t="str">
        <f t="shared" ref="P54" si="50">IF(ISERROR(P53/O53-1),"n.a.",P53/O53-1)</f>
        <v>n.a.</v>
      </c>
      <c r="Q54" s="6" t="str">
        <f t="shared" ref="Q54" si="51">IF(ISERROR(Q53/P53-1),"n.a.",Q53/P53-1)</f>
        <v>n.a.</v>
      </c>
      <c r="R54" s="6" t="str">
        <f t="shared" ref="R54" si="52">IF(ISERROR(R53/Q53-1),"n.a.",R53/Q53-1)</f>
        <v>n.a.</v>
      </c>
      <c r="S54" s="6" t="str">
        <f t="shared" ref="S54" si="53">IF(ISERROR(S53/R53-1),"n.a.",S53/R53-1)</f>
        <v>n.a.</v>
      </c>
      <c r="T54" s="6" t="str">
        <f t="shared" ref="T54" si="54">IF(ISERROR(T53/S53-1),"n.a.",T53/S53-1)</f>
        <v>n.a.</v>
      </c>
      <c r="U54" s="6" t="str">
        <f t="shared" ref="U54" si="55">IF(ISERROR(U53/T53-1),"n.a.",U53/T53-1)</f>
        <v>n.a.</v>
      </c>
      <c r="V54" s="6" t="str">
        <f t="shared" ref="V54" si="56">IF(ISERROR(V53/U53-1),"n.a.",V53/U53-1)</f>
        <v>n.a.</v>
      </c>
    </row>
    <row r="55" spans="2:34" ht="12.75" customHeight="1">
      <c r="B55" s="14"/>
      <c r="C55" s="14" t="s">
        <v>24</v>
      </c>
      <c r="D55" s="14"/>
      <c r="E55" s="6"/>
      <c r="F55" s="149">
        <f t="shared" ref="F55:V55" si="57">IF(ISERROR(-F53/F$11),"n.a.",-F53/F$11)</f>
        <v>0</v>
      </c>
      <c r="G55" s="149">
        <f t="shared" si="57"/>
        <v>0</v>
      </c>
      <c r="H55" s="149">
        <f t="shared" si="57"/>
        <v>0</v>
      </c>
      <c r="I55" s="149">
        <f t="shared" si="57"/>
        <v>0</v>
      </c>
      <c r="J55" s="149">
        <f t="shared" si="57"/>
        <v>0</v>
      </c>
      <c r="K55" s="149">
        <f t="shared" si="57"/>
        <v>0</v>
      </c>
      <c r="L55" s="149" t="str">
        <f t="shared" si="57"/>
        <v>n.a.</v>
      </c>
      <c r="M55" s="149" t="str">
        <f t="shared" si="57"/>
        <v>n.a.</v>
      </c>
      <c r="N55" s="149" t="str">
        <f t="shared" si="57"/>
        <v>n.a.</v>
      </c>
      <c r="O55" s="149" t="str">
        <f t="shared" si="57"/>
        <v>n.a.</v>
      </c>
      <c r="P55" s="149" t="str">
        <f t="shared" si="57"/>
        <v>n.a.</v>
      </c>
      <c r="Q55" s="149" t="str">
        <f t="shared" si="57"/>
        <v>n.a.</v>
      </c>
      <c r="R55" s="149" t="str">
        <f t="shared" si="57"/>
        <v>n.a.</v>
      </c>
      <c r="S55" s="149" t="str">
        <f t="shared" si="57"/>
        <v>n.a.</v>
      </c>
      <c r="T55" s="149" t="str">
        <f t="shared" si="57"/>
        <v>n.a.</v>
      </c>
      <c r="U55" s="149" t="str">
        <f t="shared" si="57"/>
        <v>n.a.</v>
      </c>
      <c r="V55" s="149" t="str">
        <f t="shared" si="57"/>
        <v>n.a.</v>
      </c>
    </row>
    <row r="56" spans="2:34">
      <c r="L56" s="268"/>
      <c r="M56" s="268"/>
    </row>
    <row r="57" spans="2:34">
      <c r="C57" s="105" t="s">
        <v>13</v>
      </c>
      <c r="D57" s="106"/>
      <c r="E57" s="107"/>
      <c r="F57" s="108"/>
      <c r="G57" s="108"/>
      <c r="H57" s="108"/>
      <c r="I57" s="108"/>
      <c r="J57" s="108"/>
      <c r="K57" s="108"/>
      <c r="L57" s="107"/>
      <c r="M57" s="108"/>
      <c r="N57" s="106"/>
      <c r="O57" s="106"/>
      <c r="P57" s="106"/>
      <c r="Q57" s="106"/>
      <c r="R57" s="106"/>
      <c r="S57" s="106"/>
      <c r="T57" s="106"/>
      <c r="U57" s="106"/>
      <c r="V57" s="106"/>
    </row>
    <row r="58" spans="2:34">
      <c r="C58" s="116" t="s">
        <v>69</v>
      </c>
      <c r="D58" s="82"/>
      <c r="E58" s="117"/>
      <c r="F58" s="258">
        <f t="shared" ref="F58:V58" si="58">F9</f>
        <v>41729</v>
      </c>
      <c r="G58" s="258">
        <f t="shared" si="58"/>
        <v>42094</v>
      </c>
      <c r="H58" s="258">
        <f t="shared" si="58"/>
        <v>42460</v>
      </c>
      <c r="I58" s="258">
        <f t="shared" si="58"/>
        <v>42825</v>
      </c>
      <c r="J58" s="258">
        <f t="shared" si="58"/>
        <v>43190</v>
      </c>
      <c r="K58" s="258">
        <f t="shared" si="58"/>
        <v>43555</v>
      </c>
      <c r="L58" s="259">
        <f t="shared" si="58"/>
        <v>43921</v>
      </c>
      <c r="M58" s="259">
        <f t="shared" si="58"/>
        <v>44286</v>
      </c>
      <c r="N58" s="259">
        <f t="shared" si="58"/>
        <v>44651</v>
      </c>
      <c r="O58" s="259">
        <f t="shared" si="58"/>
        <v>45016</v>
      </c>
      <c r="P58" s="259">
        <f t="shared" si="58"/>
        <v>45382</v>
      </c>
      <c r="Q58" s="259">
        <f t="shared" si="58"/>
        <v>45747</v>
      </c>
      <c r="R58" s="259">
        <f t="shared" si="58"/>
        <v>46112</v>
      </c>
      <c r="S58" s="259">
        <f t="shared" si="58"/>
        <v>46477</v>
      </c>
      <c r="T58" s="259">
        <f t="shared" si="58"/>
        <v>46843</v>
      </c>
      <c r="U58" s="259">
        <f t="shared" si="58"/>
        <v>47208</v>
      </c>
      <c r="V58" s="259">
        <f t="shared" si="58"/>
        <v>47573</v>
      </c>
    </row>
    <row r="59" spans="2:34">
      <c r="C59" s="119"/>
      <c r="D59" s="120"/>
      <c r="E59" s="121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</row>
    <row r="60" spans="2:34">
      <c r="C60" s="255" t="s">
        <v>2</v>
      </c>
      <c r="D60" s="256"/>
      <c r="E60" s="255"/>
      <c r="F60" s="261">
        <f t="shared" ref="F60:O60" si="59">F11</f>
        <v>939.7</v>
      </c>
      <c r="G60" s="261">
        <f t="shared" si="59"/>
        <v>1004.9</v>
      </c>
      <c r="H60" s="261">
        <f t="shared" si="59"/>
        <v>1021.5</v>
      </c>
      <c r="I60" s="261">
        <f t="shared" si="59"/>
        <v>1095</v>
      </c>
      <c r="J60" s="261">
        <f t="shared" si="59"/>
        <v>1135.0999999999999</v>
      </c>
      <c r="K60" s="261">
        <f t="shared" si="59"/>
        <v>1138.5999999999999</v>
      </c>
      <c r="L60" s="261">
        <f t="shared" si="59"/>
        <v>0</v>
      </c>
      <c r="M60" s="261" t="e">
        <f t="shared" si="59"/>
        <v>#VALUE!</v>
      </c>
      <c r="N60" s="261" t="e">
        <f t="shared" si="59"/>
        <v>#VALUE!</v>
      </c>
      <c r="O60" s="261" t="e">
        <f t="shared" si="59"/>
        <v>#VALUE!</v>
      </c>
      <c r="P60" s="261" t="e">
        <f t="shared" ref="P60:V60" si="60">P11</f>
        <v>#VALUE!</v>
      </c>
      <c r="Q60" s="261" t="e">
        <f t="shared" si="60"/>
        <v>#VALUE!</v>
      </c>
      <c r="R60" s="261" t="e">
        <f t="shared" si="60"/>
        <v>#VALUE!</v>
      </c>
      <c r="S60" s="261" t="e">
        <f t="shared" si="60"/>
        <v>#VALUE!</v>
      </c>
      <c r="T60" s="261" t="e">
        <f t="shared" si="60"/>
        <v>#VALUE!</v>
      </c>
      <c r="U60" s="261" t="e">
        <f t="shared" si="60"/>
        <v>#VALUE!</v>
      </c>
      <c r="V60" s="261" t="e">
        <f t="shared" si="60"/>
        <v>#VALUE!</v>
      </c>
    </row>
    <row r="61" spans="2:34">
      <c r="C61" s="248" t="s">
        <v>0</v>
      </c>
      <c r="D61" s="247"/>
      <c r="E61" s="249"/>
      <c r="F61" s="262" t="str">
        <f>IF(ISERROR(F60/E60-1),"n.a.",F60/E60-1)</f>
        <v>n.a.</v>
      </c>
      <c r="G61" s="262">
        <f t="shared" ref="G61:V61" si="61">IF(ISERROR(G60/F60-1),"n.a.",G60/F60-1)</f>
        <v>6.9383845908268516E-2</v>
      </c>
      <c r="H61" s="262">
        <f t="shared" si="61"/>
        <v>1.6519056622549488E-2</v>
      </c>
      <c r="I61" s="262">
        <f t="shared" si="61"/>
        <v>7.1953010279001361E-2</v>
      </c>
      <c r="J61" s="262">
        <f t="shared" si="61"/>
        <v>3.6621004566209869E-2</v>
      </c>
      <c r="K61" s="262">
        <f t="shared" si="61"/>
        <v>3.0834287727954379E-3</v>
      </c>
      <c r="L61" s="262">
        <f t="shared" si="61"/>
        <v>-1</v>
      </c>
      <c r="M61" s="262" t="str">
        <f t="shared" si="61"/>
        <v>n.a.</v>
      </c>
      <c r="N61" s="262" t="str">
        <f t="shared" si="61"/>
        <v>n.a.</v>
      </c>
      <c r="O61" s="262" t="str">
        <f t="shared" si="61"/>
        <v>n.a.</v>
      </c>
      <c r="P61" s="262" t="str">
        <f t="shared" si="61"/>
        <v>n.a.</v>
      </c>
      <c r="Q61" s="262" t="str">
        <f t="shared" si="61"/>
        <v>n.a.</v>
      </c>
      <c r="R61" s="262" t="str">
        <f t="shared" si="61"/>
        <v>n.a.</v>
      </c>
      <c r="S61" s="262" t="str">
        <f t="shared" si="61"/>
        <v>n.a.</v>
      </c>
      <c r="T61" s="262" t="str">
        <f t="shared" si="61"/>
        <v>n.a.</v>
      </c>
      <c r="U61" s="262" t="str">
        <f t="shared" si="61"/>
        <v>n.a.</v>
      </c>
      <c r="V61" s="262" t="str">
        <f t="shared" si="61"/>
        <v>n.a.</v>
      </c>
    </row>
    <row r="62" spans="2:34">
      <c r="C62" s="255" t="s">
        <v>3</v>
      </c>
      <c r="D62" s="256"/>
      <c r="E62" s="255"/>
      <c r="F62" s="261">
        <f t="shared" ref="F62:P62" si="62">F15</f>
        <v>101.1</v>
      </c>
      <c r="G62" s="261">
        <f t="shared" si="62"/>
        <v>109.9</v>
      </c>
      <c r="H62" s="261">
        <f t="shared" si="62"/>
        <v>114.6</v>
      </c>
      <c r="I62" s="261">
        <f t="shared" si="62"/>
        <v>108.7</v>
      </c>
      <c r="J62" s="261">
        <f t="shared" si="62"/>
        <v>109.5</v>
      </c>
      <c r="K62" s="261">
        <f t="shared" si="62"/>
        <v>98.2</v>
      </c>
      <c r="L62" s="261" t="e">
        <f t="shared" si="62"/>
        <v>#VALUE!</v>
      </c>
      <c r="M62" s="261" t="e">
        <f t="shared" si="62"/>
        <v>#VALUE!</v>
      </c>
      <c r="N62" s="261" t="e">
        <f t="shared" si="62"/>
        <v>#VALUE!</v>
      </c>
      <c r="O62" s="261" t="e">
        <f t="shared" si="62"/>
        <v>#VALUE!</v>
      </c>
      <c r="P62" s="261" t="e">
        <f t="shared" si="62"/>
        <v>#VALUE!</v>
      </c>
      <c r="Q62" s="261" t="e">
        <f t="shared" ref="Q62:V62" si="63">Q15</f>
        <v>#VALUE!</v>
      </c>
      <c r="R62" s="261" t="e">
        <f t="shared" si="63"/>
        <v>#VALUE!</v>
      </c>
      <c r="S62" s="261" t="e">
        <f t="shared" si="63"/>
        <v>#VALUE!</v>
      </c>
      <c r="T62" s="261" t="e">
        <f t="shared" si="63"/>
        <v>#VALUE!</v>
      </c>
      <c r="U62" s="261" t="e">
        <f t="shared" si="63"/>
        <v>#VALUE!</v>
      </c>
      <c r="V62" s="261" t="e">
        <f t="shared" si="63"/>
        <v>#VALUE!</v>
      </c>
    </row>
    <row r="63" spans="2:34">
      <c r="C63" s="248" t="s">
        <v>0</v>
      </c>
      <c r="D63" s="247"/>
      <c r="E63" s="249"/>
      <c r="F63" s="262" t="str">
        <f>IF(ISERROR(F62/E62-1),"n.a.",F62/E62-1)</f>
        <v>n.a.</v>
      </c>
      <c r="G63" s="262">
        <f t="shared" ref="G63:V63" si="64">IF(ISERROR(G62/F62-1),"n.a.",G62/F62-1)</f>
        <v>8.7042532146389906E-2</v>
      </c>
      <c r="H63" s="262">
        <f t="shared" si="64"/>
        <v>4.2766151046405687E-2</v>
      </c>
      <c r="I63" s="262">
        <f t="shared" si="64"/>
        <v>-5.148342059336819E-2</v>
      </c>
      <c r="J63" s="262">
        <f t="shared" si="64"/>
        <v>7.3597056117755688E-3</v>
      </c>
      <c r="K63" s="262">
        <f t="shared" si="64"/>
        <v>-0.10319634703196345</v>
      </c>
      <c r="L63" s="262" t="str">
        <f t="shared" si="64"/>
        <v>n.a.</v>
      </c>
      <c r="M63" s="262" t="str">
        <f t="shared" si="64"/>
        <v>n.a.</v>
      </c>
      <c r="N63" s="262" t="str">
        <f t="shared" si="64"/>
        <v>n.a.</v>
      </c>
      <c r="O63" s="262" t="str">
        <f t="shared" si="64"/>
        <v>n.a.</v>
      </c>
      <c r="P63" s="262" t="str">
        <f t="shared" si="64"/>
        <v>n.a.</v>
      </c>
      <c r="Q63" s="262" t="str">
        <f t="shared" si="64"/>
        <v>n.a.</v>
      </c>
      <c r="R63" s="262" t="str">
        <f t="shared" si="64"/>
        <v>n.a.</v>
      </c>
      <c r="S63" s="262" t="str">
        <f t="shared" si="64"/>
        <v>n.a.</v>
      </c>
      <c r="T63" s="262" t="str">
        <f t="shared" si="64"/>
        <v>n.a.</v>
      </c>
      <c r="U63" s="262" t="str">
        <f t="shared" si="64"/>
        <v>n.a.</v>
      </c>
      <c r="V63" s="262" t="str">
        <f t="shared" si="64"/>
        <v>n.a.</v>
      </c>
    </row>
    <row r="64" spans="2:34">
      <c r="C64" s="248" t="s">
        <v>1</v>
      </c>
      <c r="D64" s="247"/>
      <c r="E64" s="250"/>
      <c r="F64" s="264">
        <f>F62/F$60</f>
        <v>0.10758752793444715</v>
      </c>
      <c r="G64" s="264">
        <f t="shared" ref="G64" si="65">G62/G$60</f>
        <v>0.10936411583242114</v>
      </c>
      <c r="H64" s="264">
        <f>H62/H$60</f>
        <v>0.11218795888399412</v>
      </c>
      <c r="I64" s="264">
        <f t="shared" ref="I64" si="66">I62/I$60</f>
        <v>9.9269406392694062E-2</v>
      </c>
      <c r="J64" s="264">
        <f t="shared" ref="J64:V64" si="67">J62/J$60</f>
        <v>9.6467271606025903E-2</v>
      </c>
      <c r="K64" s="264">
        <f t="shared" si="67"/>
        <v>8.6246267345863353E-2</v>
      </c>
      <c r="L64" s="264" t="e">
        <f t="shared" si="67"/>
        <v>#VALUE!</v>
      </c>
      <c r="M64" s="264" t="e">
        <f t="shared" si="67"/>
        <v>#VALUE!</v>
      </c>
      <c r="N64" s="264" t="e">
        <f t="shared" si="67"/>
        <v>#VALUE!</v>
      </c>
      <c r="O64" s="264" t="e">
        <f t="shared" si="67"/>
        <v>#VALUE!</v>
      </c>
      <c r="P64" s="264" t="e">
        <f t="shared" si="67"/>
        <v>#VALUE!</v>
      </c>
      <c r="Q64" s="264" t="e">
        <f t="shared" si="67"/>
        <v>#VALUE!</v>
      </c>
      <c r="R64" s="264" t="e">
        <f t="shared" si="67"/>
        <v>#VALUE!</v>
      </c>
      <c r="S64" s="264" t="e">
        <f t="shared" si="67"/>
        <v>#VALUE!</v>
      </c>
      <c r="T64" s="264" t="e">
        <f t="shared" si="67"/>
        <v>#VALUE!</v>
      </c>
      <c r="U64" s="264" t="e">
        <f t="shared" si="67"/>
        <v>#VALUE!</v>
      </c>
      <c r="V64" s="264" t="e">
        <f t="shared" si="67"/>
        <v>#VALUE!</v>
      </c>
    </row>
    <row r="65" spans="3:22">
      <c r="C65" s="246" t="s">
        <v>4</v>
      </c>
      <c r="D65" s="247"/>
      <c r="E65" s="250"/>
      <c r="F65" s="265">
        <f>+F68-F62</f>
        <v>-23.299999999999997</v>
      </c>
      <c r="G65" s="265">
        <f t="shared" ref="G65:V65" si="68">+G68-G62</f>
        <v>-25.300000000000011</v>
      </c>
      <c r="H65" s="265">
        <f t="shared" si="68"/>
        <v>-30.099999999999994</v>
      </c>
      <c r="I65" s="265">
        <f t="shared" si="68"/>
        <v>-31.600000000000009</v>
      </c>
      <c r="J65" s="265">
        <f t="shared" si="68"/>
        <v>-34.900000000000006</v>
      </c>
      <c r="K65" s="265">
        <f t="shared" si="68"/>
        <v>-36</v>
      </c>
      <c r="L65" s="265" t="e">
        <f t="shared" si="68"/>
        <v>#VALUE!</v>
      </c>
      <c r="M65" s="265" t="e">
        <f t="shared" si="68"/>
        <v>#VALUE!</v>
      </c>
      <c r="N65" s="265" t="e">
        <f t="shared" si="68"/>
        <v>#VALUE!</v>
      </c>
      <c r="O65" s="265" t="e">
        <f t="shared" si="68"/>
        <v>#VALUE!</v>
      </c>
      <c r="P65" s="265" t="e">
        <f t="shared" si="68"/>
        <v>#VALUE!</v>
      </c>
      <c r="Q65" s="265" t="e">
        <f t="shared" si="68"/>
        <v>#VALUE!</v>
      </c>
      <c r="R65" s="265" t="e">
        <f t="shared" si="68"/>
        <v>#VALUE!</v>
      </c>
      <c r="S65" s="265" t="e">
        <f t="shared" si="68"/>
        <v>#VALUE!</v>
      </c>
      <c r="T65" s="265" t="e">
        <f t="shared" si="68"/>
        <v>#VALUE!</v>
      </c>
      <c r="U65" s="265" t="e">
        <f t="shared" si="68"/>
        <v>#VALUE!</v>
      </c>
      <c r="V65" s="265" t="e">
        <f t="shared" si="68"/>
        <v>#VALUE!</v>
      </c>
    </row>
    <row r="66" spans="3:22">
      <c r="C66" s="248" t="s">
        <v>84</v>
      </c>
      <c r="D66" s="247"/>
      <c r="E66" s="250"/>
      <c r="F66" s="264">
        <f t="shared" ref="F66:V66" si="69">+F65/F60</f>
        <v>-2.4795147387464082E-2</v>
      </c>
      <c r="G66" s="264">
        <f t="shared" si="69"/>
        <v>-2.5176634490994141E-2</v>
      </c>
      <c r="H66" s="264">
        <f t="shared" si="69"/>
        <v>-2.9466470876162502E-2</v>
      </c>
      <c r="I66" s="264">
        <f t="shared" si="69"/>
        <v>-2.8858447488584484E-2</v>
      </c>
      <c r="J66" s="264">
        <f t="shared" si="69"/>
        <v>-3.0746189763016483E-2</v>
      </c>
      <c r="K66" s="264">
        <f t="shared" si="69"/>
        <v>-3.1617776216406115E-2</v>
      </c>
      <c r="L66" s="264" t="e">
        <f t="shared" si="69"/>
        <v>#VALUE!</v>
      </c>
      <c r="M66" s="264" t="e">
        <f t="shared" si="69"/>
        <v>#VALUE!</v>
      </c>
      <c r="N66" s="264" t="e">
        <f t="shared" si="69"/>
        <v>#VALUE!</v>
      </c>
      <c r="O66" s="264" t="e">
        <f t="shared" si="69"/>
        <v>#VALUE!</v>
      </c>
      <c r="P66" s="264" t="e">
        <f t="shared" si="69"/>
        <v>#VALUE!</v>
      </c>
      <c r="Q66" s="264" t="e">
        <f t="shared" si="69"/>
        <v>#VALUE!</v>
      </c>
      <c r="R66" s="264" t="e">
        <f t="shared" si="69"/>
        <v>#VALUE!</v>
      </c>
      <c r="S66" s="264" t="e">
        <f t="shared" si="69"/>
        <v>#VALUE!</v>
      </c>
      <c r="T66" s="264" t="e">
        <f t="shared" si="69"/>
        <v>#VALUE!</v>
      </c>
      <c r="U66" s="264" t="e">
        <f t="shared" si="69"/>
        <v>#VALUE!</v>
      </c>
      <c r="V66" s="264" t="e">
        <f t="shared" si="69"/>
        <v>#VALUE!</v>
      </c>
    </row>
    <row r="67" spans="3:22">
      <c r="C67" s="248" t="s">
        <v>37</v>
      </c>
      <c r="D67" s="247"/>
      <c r="E67" s="250"/>
      <c r="F67" s="264">
        <f t="shared" ref="F67:V67" si="70">+F65/F72</f>
        <v>0.76644736842105254</v>
      </c>
      <c r="G67" s="264">
        <f t="shared" si="70"/>
        <v>0.67466666666666697</v>
      </c>
      <c r="H67" s="264">
        <f t="shared" si="70"/>
        <v>0.74689826302729523</v>
      </c>
      <c r="I67" s="264">
        <f t="shared" si="70"/>
        <v>0.87534626038781183</v>
      </c>
      <c r="J67" s="264">
        <f t="shared" si="70"/>
        <v>0.93565683646112618</v>
      </c>
      <c r="K67" s="264">
        <f t="shared" si="70"/>
        <v>1.1612903225806452</v>
      </c>
      <c r="L67" s="264" t="e">
        <f t="shared" si="70"/>
        <v>#VALUE!</v>
      </c>
      <c r="M67" s="264" t="e">
        <f t="shared" si="70"/>
        <v>#VALUE!</v>
      </c>
      <c r="N67" s="264" t="e">
        <f t="shared" si="70"/>
        <v>#VALUE!</v>
      </c>
      <c r="O67" s="264" t="e">
        <f t="shared" si="70"/>
        <v>#VALUE!</v>
      </c>
      <c r="P67" s="264" t="e">
        <f t="shared" si="70"/>
        <v>#VALUE!</v>
      </c>
      <c r="Q67" s="264" t="e">
        <f t="shared" si="70"/>
        <v>#VALUE!</v>
      </c>
      <c r="R67" s="264" t="e">
        <f t="shared" si="70"/>
        <v>#VALUE!</v>
      </c>
      <c r="S67" s="264" t="e">
        <f t="shared" si="70"/>
        <v>#VALUE!</v>
      </c>
      <c r="T67" s="264" t="e">
        <f t="shared" si="70"/>
        <v>#VALUE!</v>
      </c>
      <c r="U67" s="264" t="e">
        <f t="shared" si="70"/>
        <v>#VALUE!</v>
      </c>
      <c r="V67" s="264" t="e">
        <f t="shared" si="70"/>
        <v>#VALUE!</v>
      </c>
    </row>
    <row r="68" spans="3:22">
      <c r="C68" s="255" t="s">
        <v>5</v>
      </c>
      <c r="D68" s="256"/>
      <c r="E68" s="255"/>
      <c r="F68" s="261">
        <f t="shared" ref="F68:V68" si="71">F25</f>
        <v>77.8</v>
      </c>
      <c r="G68" s="261">
        <f t="shared" si="71"/>
        <v>84.6</v>
      </c>
      <c r="H68" s="261">
        <f t="shared" si="71"/>
        <v>84.5</v>
      </c>
      <c r="I68" s="261">
        <f t="shared" si="71"/>
        <v>77.099999999999994</v>
      </c>
      <c r="J68" s="261">
        <f t="shared" si="71"/>
        <v>74.599999999999994</v>
      </c>
      <c r="K68" s="261">
        <f t="shared" si="71"/>
        <v>62.2</v>
      </c>
      <c r="L68" s="261" t="e">
        <f t="shared" si="71"/>
        <v>#VALUE!</v>
      </c>
      <c r="M68" s="261" t="e">
        <f t="shared" si="71"/>
        <v>#VALUE!</v>
      </c>
      <c r="N68" s="261" t="e">
        <f t="shared" si="71"/>
        <v>#VALUE!</v>
      </c>
      <c r="O68" s="261" t="e">
        <f t="shared" si="71"/>
        <v>#VALUE!</v>
      </c>
      <c r="P68" s="261" t="e">
        <f t="shared" si="71"/>
        <v>#VALUE!</v>
      </c>
      <c r="Q68" s="261" t="e">
        <f t="shared" si="71"/>
        <v>#VALUE!</v>
      </c>
      <c r="R68" s="261" t="e">
        <f t="shared" si="71"/>
        <v>#VALUE!</v>
      </c>
      <c r="S68" s="261" t="e">
        <f t="shared" si="71"/>
        <v>#VALUE!</v>
      </c>
      <c r="T68" s="261" t="e">
        <f t="shared" si="71"/>
        <v>#VALUE!</v>
      </c>
      <c r="U68" s="261" t="e">
        <f t="shared" si="71"/>
        <v>#VALUE!</v>
      </c>
      <c r="V68" s="261" t="e">
        <f t="shared" si="71"/>
        <v>#VALUE!</v>
      </c>
    </row>
    <row r="69" spans="3:22">
      <c r="C69" s="248" t="s">
        <v>0</v>
      </c>
      <c r="D69" s="247"/>
      <c r="E69" s="249"/>
      <c r="F69" s="266" t="str">
        <f t="shared" ref="F69" si="72">IF(ISERROR(F68/C68-1),"n.a.",F68/C68-1)</f>
        <v>n.a.</v>
      </c>
      <c r="G69" s="266">
        <f>IF(ISERROR(G68/F68-1),"n.a.",G68/F68-1)</f>
        <v>8.740359897172234E-2</v>
      </c>
      <c r="H69" s="266">
        <f>IF(ISERROR(H68/G68-1),"n.a.",H68/G68-1)</f>
        <v>-1.1820330969266601E-3</v>
      </c>
      <c r="I69" s="266">
        <f t="shared" ref="I69:V69" si="73">IF(ISERROR(I68/H68-1),"n.a.",I68/H68-1)</f>
        <v>-8.7573964497041468E-2</v>
      </c>
      <c r="J69" s="266">
        <f t="shared" si="73"/>
        <v>-3.2425421530479892E-2</v>
      </c>
      <c r="K69" s="266">
        <f t="shared" si="73"/>
        <v>-0.16621983914209104</v>
      </c>
      <c r="L69" s="266" t="str">
        <f t="shared" si="73"/>
        <v>n.a.</v>
      </c>
      <c r="M69" s="266" t="str">
        <f t="shared" si="73"/>
        <v>n.a.</v>
      </c>
      <c r="N69" s="266" t="str">
        <f t="shared" si="73"/>
        <v>n.a.</v>
      </c>
      <c r="O69" s="266" t="str">
        <f t="shared" si="73"/>
        <v>n.a.</v>
      </c>
      <c r="P69" s="266" t="str">
        <f t="shared" si="73"/>
        <v>n.a.</v>
      </c>
      <c r="Q69" s="266" t="str">
        <f t="shared" si="73"/>
        <v>n.a.</v>
      </c>
      <c r="R69" s="266" t="str">
        <f t="shared" si="73"/>
        <v>n.a.</v>
      </c>
      <c r="S69" s="266" t="str">
        <f t="shared" si="73"/>
        <v>n.a.</v>
      </c>
      <c r="T69" s="266" t="str">
        <f t="shared" si="73"/>
        <v>n.a.</v>
      </c>
      <c r="U69" s="266" t="str">
        <f t="shared" si="73"/>
        <v>n.a.</v>
      </c>
      <c r="V69" s="266" t="str">
        <f t="shared" si="73"/>
        <v>n.a.</v>
      </c>
    </row>
    <row r="70" spans="3:22">
      <c r="C70" s="248" t="s">
        <v>1</v>
      </c>
      <c r="D70" s="247"/>
      <c r="E70" s="251"/>
      <c r="F70" s="372">
        <f>F68/F$60</f>
        <v>8.2792380546983069E-2</v>
      </c>
      <c r="G70" s="372">
        <f t="shared" ref="G70" si="74">G68/G$60</f>
        <v>8.4187481341427006E-2</v>
      </c>
      <c r="H70" s="372">
        <f>H68/H$60</f>
        <v>8.272148800783162E-2</v>
      </c>
      <c r="I70" s="372">
        <f t="shared" ref="I70:V70" si="75">I68/I$60</f>
        <v>7.0410958904109588E-2</v>
      </c>
      <c r="J70" s="372">
        <f t="shared" si="75"/>
        <v>6.5721081843009427E-2</v>
      </c>
      <c r="K70" s="372">
        <f t="shared" si="75"/>
        <v>5.4628491129457238E-2</v>
      </c>
      <c r="L70" s="372" t="e">
        <f t="shared" si="75"/>
        <v>#VALUE!</v>
      </c>
      <c r="M70" s="372" t="e">
        <f t="shared" si="75"/>
        <v>#VALUE!</v>
      </c>
      <c r="N70" s="372" t="e">
        <f t="shared" si="75"/>
        <v>#VALUE!</v>
      </c>
      <c r="O70" s="372" t="e">
        <f t="shared" si="75"/>
        <v>#VALUE!</v>
      </c>
      <c r="P70" s="372" t="e">
        <f t="shared" si="75"/>
        <v>#VALUE!</v>
      </c>
      <c r="Q70" s="372" t="e">
        <f t="shared" si="75"/>
        <v>#VALUE!</v>
      </c>
      <c r="R70" s="372" t="e">
        <f t="shared" si="75"/>
        <v>#VALUE!</v>
      </c>
      <c r="S70" s="372" t="e">
        <f t="shared" si="75"/>
        <v>#VALUE!</v>
      </c>
      <c r="T70" s="372" t="e">
        <f t="shared" si="75"/>
        <v>#VALUE!</v>
      </c>
      <c r="U70" s="372" t="e">
        <f t="shared" si="75"/>
        <v>#VALUE!</v>
      </c>
      <c r="V70" s="372" t="e">
        <f t="shared" si="75"/>
        <v>#VALUE!</v>
      </c>
    </row>
    <row r="71" spans="3:22">
      <c r="C71" s="246" t="s">
        <v>3</v>
      </c>
      <c r="D71" s="247"/>
      <c r="E71" s="247"/>
      <c r="F71" s="263">
        <f t="shared" ref="F71:V71" si="76">F15</f>
        <v>101.1</v>
      </c>
      <c r="G71" s="263">
        <f t="shared" si="76"/>
        <v>109.9</v>
      </c>
      <c r="H71" s="263">
        <f t="shared" si="76"/>
        <v>114.6</v>
      </c>
      <c r="I71" s="263">
        <f t="shared" si="76"/>
        <v>108.7</v>
      </c>
      <c r="J71" s="263">
        <f t="shared" si="76"/>
        <v>109.5</v>
      </c>
      <c r="K71" s="263">
        <f t="shared" si="76"/>
        <v>98.2</v>
      </c>
      <c r="L71" s="263" t="e">
        <f t="shared" si="76"/>
        <v>#VALUE!</v>
      </c>
      <c r="M71" s="263" t="e">
        <f t="shared" si="76"/>
        <v>#VALUE!</v>
      </c>
      <c r="N71" s="263" t="e">
        <f t="shared" si="76"/>
        <v>#VALUE!</v>
      </c>
      <c r="O71" s="263" t="e">
        <f t="shared" si="76"/>
        <v>#VALUE!</v>
      </c>
      <c r="P71" s="263" t="e">
        <f t="shared" si="76"/>
        <v>#VALUE!</v>
      </c>
      <c r="Q71" s="263" t="e">
        <f t="shared" si="76"/>
        <v>#VALUE!</v>
      </c>
      <c r="R71" s="263" t="e">
        <f t="shared" si="76"/>
        <v>#VALUE!</v>
      </c>
      <c r="S71" s="263" t="e">
        <f t="shared" si="76"/>
        <v>#VALUE!</v>
      </c>
      <c r="T71" s="263" t="e">
        <f t="shared" si="76"/>
        <v>#VALUE!</v>
      </c>
      <c r="U71" s="263" t="e">
        <f t="shared" si="76"/>
        <v>#VALUE!</v>
      </c>
      <c r="V71" s="263" t="e">
        <f t="shared" si="76"/>
        <v>#VALUE!</v>
      </c>
    </row>
    <row r="72" spans="3:22">
      <c r="C72" s="255" t="s">
        <v>7</v>
      </c>
      <c r="D72" s="256"/>
      <c r="E72" s="257"/>
      <c r="F72" s="261">
        <f t="shared" ref="F72:V72" si="77">F40</f>
        <v>-30.4</v>
      </c>
      <c r="G72" s="261">
        <f t="shared" si="77"/>
        <v>-37.5</v>
      </c>
      <c r="H72" s="261">
        <f t="shared" si="77"/>
        <v>-40.299999999999997</v>
      </c>
      <c r="I72" s="261">
        <f t="shared" si="77"/>
        <v>-36.1</v>
      </c>
      <c r="J72" s="261">
        <f t="shared" si="77"/>
        <v>-37.299999999999997</v>
      </c>
      <c r="K72" s="261">
        <f t="shared" si="77"/>
        <v>-31</v>
      </c>
      <c r="L72" s="261">
        <f t="shared" si="77"/>
        <v>0</v>
      </c>
      <c r="M72" s="261">
        <f t="shared" si="77"/>
        <v>0</v>
      </c>
      <c r="N72" s="261">
        <f t="shared" si="77"/>
        <v>0</v>
      </c>
      <c r="O72" s="261">
        <f t="shared" si="77"/>
        <v>0</v>
      </c>
      <c r="P72" s="261">
        <f t="shared" si="77"/>
        <v>0</v>
      </c>
      <c r="Q72" s="261">
        <f t="shared" si="77"/>
        <v>0</v>
      </c>
      <c r="R72" s="261">
        <f t="shared" si="77"/>
        <v>0</v>
      </c>
      <c r="S72" s="261">
        <f t="shared" si="77"/>
        <v>0</v>
      </c>
      <c r="T72" s="261">
        <f t="shared" si="77"/>
        <v>0</v>
      </c>
      <c r="U72" s="261">
        <f t="shared" si="77"/>
        <v>0</v>
      </c>
      <c r="V72" s="261">
        <f t="shared" si="77"/>
        <v>0</v>
      </c>
    </row>
    <row r="73" spans="3:22">
      <c r="C73" s="252" t="s">
        <v>135</v>
      </c>
      <c r="D73" s="253"/>
      <c r="E73" s="254"/>
      <c r="F73" s="267">
        <f>IF(ISERROR(-F72/F$60),"n.a.",-F72/F$60)</f>
        <v>3.2350750239438113E-2</v>
      </c>
      <c r="G73" s="267">
        <f t="shared" ref="G73:V73" si="78">IF(ISERROR(-G72/G$60),"n.a.",-G72/G$60)</f>
        <v>3.7317145984675094E-2</v>
      </c>
      <c r="H73" s="267">
        <f t="shared" si="78"/>
        <v>3.9451786588350461E-2</v>
      </c>
      <c r="I73" s="267">
        <f t="shared" si="78"/>
        <v>3.2968036529680368E-2</v>
      </c>
      <c r="J73" s="267">
        <f t="shared" si="78"/>
        <v>3.2860540921504713E-2</v>
      </c>
      <c r="K73" s="267">
        <f t="shared" si="78"/>
        <v>2.7226418408571932E-2</v>
      </c>
      <c r="L73" s="267" t="str">
        <f t="shared" si="78"/>
        <v>n.a.</v>
      </c>
      <c r="M73" s="267" t="str">
        <f t="shared" si="78"/>
        <v>n.a.</v>
      </c>
      <c r="N73" s="267" t="str">
        <f t="shared" si="78"/>
        <v>n.a.</v>
      </c>
      <c r="O73" s="267" t="str">
        <f t="shared" si="78"/>
        <v>n.a.</v>
      </c>
      <c r="P73" s="267" t="str">
        <f t="shared" si="78"/>
        <v>n.a.</v>
      </c>
      <c r="Q73" s="267" t="str">
        <f t="shared" si="78"/>
        <v>n.a.</v>
      </c>
      <c r="R73" s="267" t="str">
        <f t="shared" si="78"/>
        <v>n.a.</v>
      </c>
      <c r="S73" s="267" t="str">
        <f t="shared" si="78"/>
        <v>n.a.</v>
      </c>
      <c r="T73" s="267" t="str">
        <f t="shared" si="78"/>
        <v>n.a.</v>
      </c>
      <c r="U73" s="267" t="str">
        <f t="shared" si="78"/>
        <v>n.a.</v>
      </c>
      <c r="V73" s="267" t="str">
        <f t="shared" si="78"/>
        <v>n.a.</v>
      </c>
    </row>
    <row r="74" spans="3:22">
      <c r="C74" s="246" t="s">
        <v>75</v>
      </c>
      <c r="D74" s="253"/>
      <c r="E74" s="254"/>
      <c r="F74" s="263">
        <f t="shared" ref="F74:V74" si="79">F45</f>
        <v>-5.3000000000000007</v>
      </c>
      <c r="G74" s="263">
        <f t="shared" si="79"/>
        <v>25.099999999999998</v>
      </c>
      <c r="H74" s="263">
        <f t="shared" si="79"/>
        <v>-11.2</v>
      </c>
      <c r="I74" s="263">
        <f t="shared" si="79"/>
        <v>-16.300000000000004</v>
      </c>
      <c r="J74" s="263">
        <f t="shared" si="79"/>
        <v>-12.6</v>
      </c>
      <c r="K74" s="263">
        <f t="shared" si="79"/>
        <v>-10.399999999999999</v>
      </c>
      <c r="L74" s="263">
        <f t="shared" si="79"/>
        <v>0</v>
      </c>
      <c r="M74" s="263">
        <f t="shared" si="79"/>
        <v>0</v>
      </c>
      <c r="N74" s="263">
        <f t="shared" si="79"/>
        <v>0</v>
      </c>
      <c r="O74" s="263">
        <f t="shared" si="79"/>
        <v>0</v>
      </c>
      <c r="P74" s="263">
        <f t="shared" si="79"/>
        <v>0</v>
      </c>
      <c r="Q74" s="263" t="e">
        <f t="shared" si="79"/>
        <v>#VALUE!</v>
      </c>
      <c r="R74" s="263" t="e">
        <f t="shared" si="79"/>
        <v>#VALUE!</v>
      </c>
      <c r="S74" s="263" t="e">
        <f t="shared" si="79"/>
        <v>#VALUE!</v>
      </c>
      <c r="T74" s="263" t="e">
        <f t="shared" si="79"/>
        <v>#VALUE!</v>
      </c>
      <c r="U74" s="263" t="e">
        <f t="shared" si="79"/>
        <v>#VALUE!</v>
      </c>
      <c r="V74" s="263" t="e">
        <f t="shared" si="79"/>
        <v>#VALUE!</v>
      </c>
    </row>
    <row r="75" spans="3:22">
      <c r="C75" s="252" t="s">
        <v>135</v>
      </c>
      <c r="D75" s="253"/>
      <c r="E75" s="254"/>
      <c r="F75" s="266">
        <f t="shared" ref="F75:V75" si="80">+F74/F60</f>
        <v>-5.6400979035862511E-3</v>
      </c>
      <c r="G75" s="266">
        <f t="shared" si="80"/>
        <v>2.4977609712409192E-2</v>
      </c>
      <c r="H75" s="266">
        <f t="shared" si="80"/>
        <v>-1.0964268232990699E-2</v>
      </c>
      <c r="I75" s="266">
        <f t="shared" si="80"/>
        <v>-1.4885844748858451E-2</v>
      </c>
      <c r="J75" s="266">
        <f t="shared" si="80"/>
        <v>-1.1100343582063256E-2</v>
      </c>
      <c r="K75" s="266">
        <f t="shared" si="80"/>
        <v>-9.1340242402950991E-3</v>
      </c>
      <c r="L75" s="266" t="e">
        <f t="shared" si="80"/>
        <v>#DIV/0!</v>
      </c>
      <c r="M75" s="266" t="e">
        <f t="shared" si="80"/>
        <v>#VALUE!</v>
      </c>
      <c r="N75" s="266" t="e">
        <f t="shared" si="80"/>
        <v>#VALUE!</v>
      </c>
      <c r="O75" s="266" t="e">
        <f t="shared" si="80"/>
        <v>#VALUE!</v>
      </c>
      <c r="P75" s="266" t="e">
        <f t="shared" si="80"/>
        <v>#VALUE!</v>
      </c>
      <c r="Q75" s="266" t="e">
        <f t="shared" si="80"/>
        <v>#VALUE!</v>
      </c>
      <c r="R75" s="266" t="e">
        <f t="shared" si="80"/>
        <v>#VALUE!</v>
      </c>
      <c r="S75" s="266" t="e">
        <f t="shared" si="80"/>
        <v>#VALUE!</v>
      </c>
      <c r="T75" s="266" t="e">
        <f t="shared" si="80"/>
        <v>#VALUE!</v>
      </c>
      <c r="U75" s="266" t="e">
        <f t="shared" si="80"/>
        <v>#VALUE!</v>
      </c>
      <c r="V75" s="266" t="e">
        <f t="shared" si="80"/>
        <v>#VALUE!</v>
      </c>
    </row>
    <row r="76" spans="3:22">
      <c r="C76" s="366" t="s">
        <v>130</v>
      </c>
      <c r="D76" s="253"/>
      <c r="E76" s="254"/>
      <c r="F76" s="263">
        <f t="shared" ref="F76:V76" si="81">+F49</f>
        <v>0</v>
      </c>
      <c r="G76" s="263">
        <f t="shared" si="81"/>
        <v>0</v>
      </c>
      <c r="H76" s="263">
        <f t="shared" si="81"/>
        <v>0</v>
      </c>
      <c r="I76" s="263">
        <f t="shared" si="81"/>
        <v>0</v>
      </c>
      <c r="J76" s="263">
        <f t="shared" si="81"/>
        <v>-1.5</v>
      </c>
      <c r="K76" s="263">
        <f t="shared" si="81"/>
        <v>0.74</v>
      </c>
      <c r="L76" s="263">
        <f t="shared" si="81"/>
        <v>0</v>
      </c>
      <c r="M76" s="263">
        <f t="shared" si="81"/>
        <v>0</v>
      </c>
      <c r="N76" s="263">
        <f t="shared" si="81"/>
        <v>0</v>
      </c>
      <c r="O76" s="263">
        <f t="shared" si="81"/>
        <v>0</v>
      </c>
      <c r="P76" s="263">
        <f t="shared" si="81"/>
        <v>0</v>
      </c>
      <c r="Q76" s="263">
        <f t="shared" si="81"/>
        <v>0</v>
      </c>
      <c r="R76" s="263">
        <f t="shared" si="81"/>
        <v>0</v>
      </c>
      <c r="S76" s="263">
        <f t="shared" si="81"/>
        <v>0</v>
      </c>
      <c r="T76" s="263">
        <f t="shared" si="81"/>
        <v>0</v>
      </c>
      <c r="U76" s="263">
        <f t="shared" si="81"/>
        <v>0</v>
      </c>
      <c r="V76" s="263">
        <f t="shared" si="81"/>
        <v>0</v>
      </c>
    </row>
    <row r="77" spans="3:22">
      <c r="C77" s="252" t="s">
        <v>135</v>
      </c>
      <c r="D77" s="253"/>
      <c r="E77" s="254"/>
      <c r="F77" s="267">
        <f>IF(ISERROR(-F76/F$60),"n.a.",-F76/F$60)</f>
        <v>0</v>
      </c>
      <c r="G77" s="267">
        <f t="shared" ref="G77:V77" si="82">IF(ISERROR(-G76/G$60),"n.a.",-G76/G$60)</f>
        <v>0</v>
      </c>
      <c r="H77" s="267">
        <f t="shared" si="82"/>
        <v>0</v>
      </c>
      <c r="I77" s="267">
        <f t="shared" si="82"/>
        <v>0</v>
      </c>
      <c r="J77" s="267">
        <f t="shared" si="82"/>
        <v>1.3214694740551493E-3</v>
      </c>
      <c r="K77" s="267">
        <f t="shared" si="82"/>
        <v>-6.4992095555945904E-4</v>
      </c>
      <c r="L77" s="267" t="str">
        <f t="shared" si="82"/>
        <v>n.a.</v>
      </c>
      <c r="M77" s="267" t="str">
        <f t="shared" si="82"/>
        <v>n.a.</v>
      </c>
      <c r="N77" s="267" t="str">
        <f t="shared" si="82"/>
        <v>n.a.</v>
      </c>
      <c r="O77" s="267" t="str">
        <f t="shared" si="82"/>
        <v>n.a.</v>
      </c>
      <c r="P77" s="267" t="str">
        <f t="shared" si="82"/>
        <v>n.a.</v>
      </c>
      <c r="Q77" s="267" t="str">
        <f t="shared" si="82"/>
        <v>n.a.</v>
      </c>
      <c r="R77" s="267" t="str">
        <f t="shared" si="82"/>
        <v>n.a.</v>
      </c>
      <c r="S77" s="267" t="str">
        <f t="shared" si="82"/>
        <v>n.a.</v>
      </c>
      <c r="T77" s="267" t="str">
        <f t="shared" si="82"/>
        <v>n.a.</v>
      </c>
      <c r="U77" s="267" t="str">
        <f t="shared" si="82"/>
        <v>n.a.</v>
      </c>
      <c r="V77" s="267" t="str">
        <f t="shared" si="82"/>
        <v>n.a.</v>
      </c>
    </row>
    <row r="78" spans="3:22">
      <c r="C78" s="366" t="s">
        <v>131</v>
      </c>
      <c r="D78" s="253"/>
      <c r="E78" s="254"/>
      <c r="F78" s="263">
        <f t="shared" ref="F78:V78" si="83">+F53</f>
        <v>0</v>
      </c>
      <c r="G78" s="263">
        <f t="shared" si="83"/>
        <v>0</v>
      </c>
      <c r="H78" s="263">
        <f t="shared" si="83"/>
        <v>0</v>
      </c>
      <c r="I78" s="263">
        <f t="shared" si="83"/>
        <v>0</v>
      </c>
      <c r="J78" s="263">
        <f t="shared" si="83"/>
        <v>0</v>
      </c>
      <c r="K78" s="263">
        <f t="shared" si="83"/>
        <v>0</v>
      </c>
      <c r="L78" s="263">
        <f t="shared" si="83"/>
        <v>0</v>
      </c>
      <c r="M78" s="263">
        <f t="shared" si="83"/>
        <v>0</v>
      </c>
      <c r="N78" s="263">
        <f t="shared" si="83"/>
        <v>0</v>
      </c>
      <c r="O78" s="263">
        <f t="shared" si="83"/>
        <v>0</v>
      </c>
      <c r="P78" s="263">
        <f t="shared" si="83"/>
        <v>0</v>
      </c>
      <c r="Q78" s="263">
        <f t="shared" si="83"/>
        <v>0</v>
      </c>
      <c r="R78" s="263">
        <f t="shared" si="83"/>
        <v>0</v>
      </c>
      <c r="S78" s="263">
        <f t="shared" si="83"/>
        <v>0</v>
      </c>
      <c r="T78" s="263">
        <f t="shared" si="83"/>
        <v>0</v>
      </c>
      <c r="U78" s="263">
        <f t="shared" si="83"/>
        <v>0</v>
      </c>
      <c r="V78" s="263">
        <f t="shared" si="83"/>
        <v>0</v>
      </c>
    </row>
    <row r="79" spans="3:22">
      <c r="C79" s="374" t="s">
        <v>135</v>
      </c>
      <c r="D79" s="375"/>
      <c r="E79" s="376"/>
      <c r="F79" s="377">
        <f>IF(ISERROR(-F78/F$60),"n.a.",-F78/F$60)</f>
        <v>0</v>
      </c>
      <c r="G79" s="377">
        <f t="shared" ref="G79:V79" si="84">IF(ISERROR(-G78/G$60),"n.a.",-G78/G$60)</f>
        <v>0</v>
      </c>
      <c r="H79" s="377">
        <f t="shared" si="84"/>
        <v>0</v>
      </c>
      <c r="I79" s="377">
        <f t="shared" si="84"/>
        <v>0</v>
      </c>
      <c r="J79" s="377">
        <f t="shared" si="84"/>
        <v>0</v>
      </c>
      <c r="K79" s="377">
        <f t="shared" si="84"/>
        <v>0</v>
      </c>
      <c r="L79" s="377" t="str">
        <f t="shared" si="84"/>
        <v>n.a.</v>
      </c>
      <c r="M79" s="377" t="str">
        <f t="shared" si="84"/>
        <v>n.a.</v>
      </c>
      <c r="N79" s="377" t="str">
        <f t="shared" si="84"/>
        <v>n.a.</v>
      </c>
      <c r="O79" s="377" t="str">
        <f t="shared" si="84"/>
        <v>n.a.</v>
      </c>
      <c r="P79" s="377" t="str">
        <f t="shared" si="84"/>
        <v>n.a.</v>
      </c>
      <c r="Q79" s="377" t="str">
        <f t="shared" si="84"/>
        <v>n.a.</v>
      </c>
      <c r="R79" s="377" t="str">
        <f t="shared" si="84"/>
        <v>n.a.</v>
      </c>
      <c r="S79" s="377" t="str">
        <f t="shared" si="84"/>
        <v>n.a.</v>
      </c>
      <c r="T79" s="377" t="str">
        <f t="shared" si="84"/>
        <v>n.a.</v>
      </c>
      <c r="U79" s="377" t="str">
        <f t="shared" si="84"/>
        <v>n.a.</v>
      </c>
      <c r="V79" s="377" t="str">
        <f t="shared" si="84"/>
        <v>n.a.</v>
      </c>
    </row>
    <row r="80" spans="3:22" ht="4.5" customHeight="1">
      <c r="C80" s="122"/>
      <c r="D80" s="123"/>
      <c r="E80" s="124"/>
      <c r="F80" s="124"/>
      <c r="G80" s="124"/>
      <c r="H80" s="124"/>
      <c r="I80" s="124"/>
      <c r="J80" s="124"/>
      <c r="K80" s="124"/>
      <c r="L80" s="124"/>
      <c r="M80" s="124"/>
      <c r="N80" s="124"/>
    </row>
    <row r="85" spans="12:12">
      <c r="L85" s="268"/>
    </row>
    <row r="92" spans="12:12">
      <c r="L92" s="268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C1:U127"/>
  <sheetViews>
    <sheetView showGridLines="0" tabSelected="1" topLeftCell="A18" zoomScaleNormal="100" zoomScaleSheetLayoutView="100" workbookViewId="0">
      <selection activeCell="K89" sqref="K89"/>
    </sheetView>
  </sheetViews>
  <sheetFormatPr defaultColWidth="9.109375" defaultRowHeight="13.2"/>
  <cols>
    <col min="1" max="1" width="3" style="28" customWidth="1"/>
    <col min="2" max="3" width="0.44140625" style="28" customWidth="1"/>
    <col min="4" max="4" width="11.33203125" style="28" customWidth="1"/>
    <col min="5" max="18" width="14.33203125" style="28" customWidth="1"/>
    <col min="19" max="20" width="14.33203125" style="127" customWidth="1"/>
    <col min="21" max="21" width="2.77734375" style="28" customWidth="1"/>
    <col min="22" max="16384" width="9.109375" style="28"/>
  </cols>
  <sheetData>
    <row r="1" spans="4:21" s="127" customFormat="1"/>
    <row r="2" spans="4:21" s="7" customFormat="1" ht="12" customHeight="1">
      <c r="D2" s="38"/>
    </row>
    <row r="3" spans="4:21" s="180" customFormat="1" ht="21">
      <c r="D3" s="183" t="s">
        <v>29</v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</row>
    <row r="4" spans="4:21" s="7" customFormat="1" ht="4.5" customHeight="1"/>
    <row r="5" spans="4:21">
      <c r="D5" s="53" t="s">
        <v>30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</row>
    <row r="6" spans="4:21" ht="4.5" customHeight="1">
      <c r="P6" s="59"/>
    </row>
    <row r="7" spans="4:21" ht="12.75" customHeight="1">
      <c r="D7" s="28" t="s">
        <v>9</v>
      </c>
      <c r="F7" s="140">
        <f>Assumptions!D12</f>
        <v>43921</v>
      </c>
      <c r="H7" s="361"/>
      <c r="I7" s="361"/>
      <c r="J7" s="127"/>
      <c r="K7" s="127"/>
      <c r="L7" s="127"/>
      <c r="M7" s="127"/>
      <c r="N7" s="127"/>
      <c r="O7" s="127"/>
      <c r="P7" s="59"/>
      <c r="S7" s="362"/>
      <c r="T7" s="362"/>
    </row>
    <row r="8" spans="4:21" ht="12.75" customHeight="1">
      <c r="D8" s="28" t="s">
        <v>31</v>
      </c>
      <c r="F8" s="141">
        <f>EDATE(F7,12)</f>
        <v>44286</v>
      </c>
      <c r="H8" s="361"/>
      <c r="I8" s="361"/>
      <c r="J8" s="361"/>
      <c r="K8" s="127"/>
      <c r="L8" s="127"/>
      <c r="M8" s="127"/>
      <c r="N8" s="127"/>
      <c r="O8" s="127"/>
      <c r="P8" s="59"/>
      <c r="S8" s="362"/>
      <c r="T8" s="362"/>
    </row>
    <row r="9" spans="4:21" ht="12.75" customHeight="1">
      <c r="D9" s="28" t="s">
        <v>32</v>
      </c>
      <c r="F9" s="393">
        <v>5.0000000000000001E-3</v>
      </c>
      <c r="H9" s="395" t="s">
        <v>157</v>
      </c>
      <c r="I9" s="395"/>
      <c r="J9" s="395"/>
      <c r="K9" s="395"/>
      <c r="L9" s="127"/>
      <c r="M9" s="127"/>
      <c r="N9" s="127"/>
      <c r="O9" s="127"/>
      <c r="P9" s="59"/>
      <c r="S9" s="362"/>
      <c r="T9" s="362"/>
    </row>
    <row r="10" spans="4:21" ht="12.75" customHeight="1">
      <c r="D10" s="28" t="s">
        <v>33</v>
      </c>
      <c r="F10" s="394" t="s">
        <v>170</v>
      </c>
      <c r="H10" s="361"/>
      <c r="I10" s="361"/>
      <c r="J10" s="361"/>
      <c r="K10" s="127"/>
      <c r="L10" s="127"/>
      <c r="M10" s="127"/>
      <c r="N10" s="127"/>
      <c r="O10" s="127"/>
      <c r="P10" s="59"/>
      <c r="R10" s="361"/>
      <c r="S10" s="362"/>
      <c r="T10" s="362"/>
      <c r="U10" s="361"/>
    </row>
    <row r="11" spans="4:21" ht="12.75" customHeight="1">
      <c r="D11" s="28" t="s">
        <v>34</v>
      </c>
      <c r="F11" s="393">
        <v>8.5000000000000006E-2</v>
      </c>
      <c r="H11" s="127"/>
      <c r="I11" s="127"/>
      <c r="J11" s="127"/>
      <c r="K11" s="127"/>
      <c r="L11" s="127"/>
      <c r="M11" s="127"/>
      <c r="N11" s="127"/>
      <c r="O11" s="127"/>
      <c r="P11" s="59"/>
    </row>
    <row r="12" spans="4:21" ht="12.75" customHeight="1">
      <c r="F12" s="61"/>
      <c r="H12" s="127"/>
      <c r="I12" s="127"/>
      <c r="J12" s="127"/>
      <c r="K12" s="127"/>
      <c r="L12" s="127"/>
      <c r="M12" s="127"/>
      <c r="N12" s="127"/>
      <c r="P12" s="59"/>
    </row>
    <row r="13" spans="4:21" ht="12.75" customHeight="1">
      <c r="H13" s="395" t="s">
        <v>158</v>
      </c>
      <c r="I13" s="395"/>
      <c r="J13" s="395"/>
      <c r="K13" s="395"/>
      <c r="L13" s="411" t="s">
        <v>164</v>
      </c>
      <c r="M13" s="411"/>
      <c r="N13" s="411"/>
      <c r="O13" s="411"/>
      <c r="P13" s="411"/>
      <c r="Q13" s="420" t="s">
        <v>168</v>
      </c>
    </row>
    <row r="14" spans="4:21" ht="12.75" customHeight="1">
      <c r="D14" s="48" t="s">
        <v>36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</row>
    <row r="15" spans="4:21" ht="4.5" customHeight="1"/>
    <row r="16" spans="4:21" s="31" customFormat="1"/>
    <row r="17" spans="3:21" s="31" customFormat="1">
      <c r="C17" s="94" t="s">
        <v>63</v>
      </c>
      <c r="G17" s="154">
        <f>G22-$F$7</f>
        <v>-731</v>
      </c>
      <c r="H17" s="154">
        <f t="shared" ref="H17:R17" si="0">H22-$F$7</f>
        <v>-366</v>
      </c>
      <c r="I17" s="154">
        <f t="shared" si="0"/>
        <v>0</v>
      </c>
      <c r="J17" s="154">
        <f t="shared" si="0"/>
        <v>365</v>
      </c>
      <c r="K17" s="154">
        <f t="shared" si="0"/>
        <v>730</v>
      </c>
      <c r="L17" s="154">
        <f t="shared" si="0"/>
        <v>1095</v>
      </c>
      <c r="M17" s="154">
        <f t="shared" si="0"/>
        <v>1461</v>
      </c>
      <c r="N17" s="154">
        <f t="shared" si="0"/>
        <v>1826</v>
      </c>
      <c r="O17" s="154">
        <f t="shared" si="0"/>
        <v>2191</v>
      </c>
      <c r="P17" s="154">
        <f t="shared" si="0"/>
        <v>2556</v>
      </c>
      <c r="Q17" s="154">
        <f t="shared" si="0"/>
        <v>2922</v>
      </c>
      <c r="R17" s="154">
        <f t="shared" si="0"/>
        <v>3287</v>
      </c>
      <c r="S17" s="154">
        <f t="shared" ref="S17" si="1">S22-$F$7</f>
        <v>3652</v>
      </c>
      <c r="T17" s="154"/>
      <c r="U17" s="129"/>
    </row>
    <row r="18" spans="3:21" s="31" customFormat="1">
      <c r="C18" s="94" t="s">
        <v>70</v>
      </c>
      <c r="G18" s="130">
        <f>IF(G17&lt;0,100%,IF(G17&gt;365.25,0,1-((G22-$F$7)/365.25)))</f>
        <v>1</v>
      </c>
      <c r="H18" s="130">
        <f t="shared" ref="H18:R18" si="2">IF(H17&lt;0,100%,IF(H17&gt;365.25,0,1-((H22-$F$7)/365.25)))</f>
        <v>1</v>
      </c>
      <c r="I18" s="130">
        <f t="shared" si="2"/>
        <v>1</v>
      </c>
      <c r="J18" s="367">
        <f t="shared" si="2"/>
        <v>6.8446269678301697E-4</v>
      </c>
      <c r="K18" s="130">
        <f t="shared" si="2"/>
        <v>0</v>
      </c>
      <c r="L18" s="130">
        <f t="shared" si="2"/>
        <v>0</v>
      </c>
      <c r="M18" s="130">
        <f t="shared" si="2"/>
        <v>0</v>
      </c>
      <c r="N18" s="130">
        <f t="shared" si="2"/>
        <v>0</v>
      </c>
      <c r="O18" s="130">
        <f t="shared" si="2"/>
        <v>0</v>
      </c>
      <c r="P18" s="130">
        <f t="shared" si="2"/>
        <v>0</v>
      </c>
      <c r="Q18" s="130">
        <f t="shared" si="2"/>
        <v>0</v>
      </c>
      <c r="R18" s="130">
        <f t="shared" si="2"/>
        <v>0</v>
      </c>
      <c r="S18" s="130">
        <f t="shared" ref="S18" si="3">IF(S17&lt;0,100%,IF(S17&gt;365.25,0,1-((S22-$F$7)/365.25)))</f>
        <v>0</v>
      </c>
      <c r="T18" s="130"/>
      <c r="U18" s="130"/>
    </row>
    <row r="19" spans="3:21" s="31" customFormat="1">
      <c r="C19" s="94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</row>
    <row r="20" spans="3:21">
      <c r="D20" s="62"/>
      <c r="F20" s="301" t="s">
        <v>76</v>
      </c>
      <c r="G20" s="301"/>
      <c r="H20" s="301"/>
      <c r="I20" s="300" t="s">
        <v>19</v>
      </c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103"/>
    </row>
    <row r="21" spans="3:21" ht="4.5" customHeight="1">
      <c r="H21" s="127"/>
      <c r="T21" s="28"/>
    </row>
    <row r="22" spans="3:21" ht="12.75" customHeight="1">
      <c r="D22" s="83" t="str">
        <f>TEXT(Assumptions!$D$11,"mmmm")&amp;" YE ($mm)"</f>
        <v>March YE ($mm)</v>
      </c>
      <c r="E22" s="40"/>
      <c r="F22" s="50">
        <f>' Financials'!I58</f>
        <v>42825</v>
      </c>
      <c r="G22" s="50">
        <f>' Financials'!J58</f>
        <v>43190</v>
      </c>
      <c r="H22" s="306">
        <f>' Financials'!K58</f>
        <v>43555</v>
      </c>
      <c r="I22" s="41">
        <f>' Financials'!L58</f>
        <v>43921</v>
      </c>
      <c r="J22" s="41">
        <f>' Financials'!M58</f>
        <v>44286</v>
      </c>
      <c r="K22" s="41">
        <f>' Financials'!N58</f>
        <v>44651</v>
      </c>
      <c r="L22" s="41">
        <f>' Financials'!O58</f>
        <v>45016</v>
      </c>
      <c r="M22" s="41">
        <f>' Financials'!P58</f>
        <v>45382</v>
      </c>
      <c r="N22" s="41">
        <f>' Financials'!Q58</f>
        <v>45747</v>
      </c>
      <c r="O22" s="41">
        <f>' Financials'!R58</f>
        <v>46112</v>
      </c>
      <c r="P22" s="41">
        <f>' Financials'!S58</f>
        <v>46477</v>
      </c>
      <c r="Q22" s="41">
        <f>' Financials'!T58</f>
        <v>46843</v>
      </c>
      <c r="R22" s="41">
        <f>' Financials'!U58</f>
        <v>47208</v>
      </c>
      <c r="S22" s="41">
        <f>' Financials'!V58</f>
        <v>47573</v>
      </c>
      <c r="T22" s="41"/>
      <c r="U22" s="13"/>
    </row>
    <row r="23" spans="3:21" s="63" customFormat="1">
      <c r="C23" s="28"/>
      <c r="D23" s="59"/>
      <c r="E23" s="59"/>
      <c r="F23" s="59"/>
      <c r="G23" s="59"/>
      <c r="H23" s="84"/>
      <c r="I23" s="59"/>
      <c r="J23" s="59"/>
      <c r="K23" s="59"/>
      <c r="L23" s="59"/>
      <c r="M23" s="59"/>
      <c r="N23" s="59"/>
      <c r="O23" s="59"/>
      <c r="P23" s="59"/>
      <c r="Q23" s="59"/>
    </row>
    <row r="24" spans="3:21">
      <c r="D24" s="96" t="s">
        <v>2</v>
      </c>
      <c r="E24" s="96"/>
      <c r="F24" s="396"/>
      <c r="G24" s="396"/>
      <c r="H24" s="397"/>
      <c r="I24" s="396"/>
      <c r="J24" s="396">
        <v>27</v>
      </c>
      <c r="K24" s="396">
        <v>50</v>
      </c>
      <c r="L24" s="396">
        <v>89</v>
      </c>
      <c r="M24" s="396">
        <v>55</v>
      </c>
      <c r="N24" s="396"/>
      <c r="O24" s="396"/>
      <c r="P24" s="396"/>
      <c r="Q24" s="396"/>
      <c r="R24" s="396"/>
      <c r="S24" s="396"/>
      <c r="T24" s="162"/>
    </row>
    <row r="25" spans="3:21">
      <c r="C25" s="63"/>
      <c r="D25" s="64" t="s">
        <v>0</v>
      </c>
      <c r="E25" s="64"/>
      <c r="F25" s="407"/>
      <c r="G25" s="408"/>
      <c r="H25" s="409"/>
      <c r="I25" s="410"/>
      <c r="J25" s="410"/>
      <c r="K25" s="410"/>
      <c r="L25" s="410"/>
      <c r="M25" s="410"/>
      <c r="N25" s="410"/>
      <c r="O25" s="410"/>
      <c r="P25" s="410"/>
      <c r="Q25" s="410"/>
      <c r="R25" s="410"/>
      <c r="S25" s="410"/>
      <c r="T25" s="65"/>
    </row>
    <row r="26" spans="3:21" s="63" customFormat="1">
      <c r="C26" s="28"/>
      <c r="D26" s="59"/>
      <c r="E26" s="59"/>
      <c r="F26" s="59"/>
      <c r="G26" s="59"/>
      <c r="H26" s="84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</row>
    <row r="27" spans="3:21" s="63" customFormat="1">
      <c r="C27" s="28"/>
      <c r="D27" s="96" t="s">
        <v>3</v>
      </c>
      <c r="E27" s="96"/>
      <c r="F27" s="396"/>
      <c r="G27" s="396"/>
      <c r="H27" s="397"/>
      <c r="I27" s="396"/>
      <c r="J27" s="396"/>
      <c r="K27" s="396"/>
      <c r="L27" s="396"/>
      <c r="M27" s="396"/>
      <c r="N27" s="396"/>
      <c r="O27" s="396"/>
      <c r="P27" s="396"/>
      <c r="Q27" s="396"/>
      <c r="R27" s="396"/>
      <c r="S27" s="396"/>
      <c r="T27" s="162"/>
    </row>
    <row r="28" spans="3:21">
      <c r="C28" s="63"/>
      <c r="D28" s="64" t="s">
        <v>1</v>
      </c>
      <c r="E28" s="64"/>
      <c r="F28" s="410"/>
      <c r="G28" s="410"/>
      <c r="H28" s="412"/>
      <c r="I28" s="410"/>
      <c r="J28" s="410"/>
      <c r="K28" s="410"/>
      <c r="L28" s="410"/>
      <c r="M28" s="410"/>
      <c r="N28" s="410"/>
      <c r="O28" s="410"/>
      <c r="P28" s="410"/>
      <c r="Q28" s="410"/>
      <c r="R28" s="410"/>
      <c r="S28" s="410"/>
      <c r="T28" s="65"/>
    </row>
    <row r="29" spans="3:21">
      <c r="C29" s="63"/>
      <c r="D29" s="64" t="s">
        <v>0</v>
      </c>
      <c r="E29" s="64"/>
      <c r="F29" s="407"/>
      <c r="G29" s="408"/>
      <c r="H29" s="409"/>
      <c r="I29" s="410"/>
      <c r="J29" s="410"/>
      <c r="K29" s="410"/>
      <c r="L29" s="410"/>
      <c r="M29" s="410"/>
      <c r="N29" s="410"/>
      <c r="O29" s="410"/>
      <c r="P29" s="410"/>
      <c r="Q29" s="410"/>
      <c r="R29" s="410"/>
      <c r="S29" s="410"/>
      <c r="T29" s="65"/>
    </row>
    <row r="30" spans="3:21" s="63" customFormat="1">
      <c r="C30" s="28"/>
      <c r="D30" s="96"/>
      <c r="E30" s="96"/>
      <c r="F30" s="96"/>
      <c r="G30" s="96"/>
      <c r="H30" s="163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</row>
    <row r="31" spans="3:21" s="63" customFormat="1">
      <c r="C31" s="28"/>
      <c r="D31" s="96" t="s">
        <v>4</v>
      </c>
      <c r="E31" s="96"/>
      <c r="F31" s="396"/>
      <c r="G31" s="396"/>
      <c r="H31" s="397"/>
      <c r="I31" s="396"/>
      <c r="J31" s="396"/>
      <c r="K31" s="396"/>
      <c r="L31" s="396"/>
      <c r="M31" s="396"/>
      <c r="N31" s="396"/>
      <c r="O31" s="396"/>
      <c r="P31" s="396"/>
      <c r="Q31" s="396"/>
      <c r="R31" s="396"/>
      <c r="S31" s="396"/>
      <c r="T31" s="162"/>
    </row>
    <row r="32" spans="3:21">
      <c r="C32" s="63"/>
      <c r="D32" s="64" t="s">
        <v>24</v>
      </c>
      <c r="E32" s="64"/>
      <c r="F32" s="410"/>
      <c r="G32" s="410"/>
      <c r="H32" s="412"/>
      <c r="I32" s="410"/>
      <c r="J32" s="410"/>
      <c r="K32" s="410"/>
      <c r="L32" s="410"/>
      <c r="M32" s="410"/>
      <c r="N32" s="410"/>
      <c r="O32" s="410"/>
      <c r="P32" s="410"/>
      <c r="Q32" s="410"/>
      <c r="R32" s="410"/>
      <c r="S32" s="410"/>
      <c r="T32" s="65"/>
    </row>
    <row r="33" spans="3:20">
      <c r="C33" s="63"/>
      <c r="D33" s="64" t="s">
        <v>37</v>
      </c>
      <c r="E33" s="64"/>
      <c r="F33" s="406"/>
      <c r="G33" s="406"/>
      <c r="H33" s="413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65"/>
    </row>
    <row r="34" spans="3:20" s="63" customFormat="1">
      <c r="C34" s="28"/>
      <c r="D34" s="96"/>
      <c r="E34" s="96"/>
      <c r="F34" s="96"/>
      <c r="G34" s="96"/>
      <c r="H34" s="163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</row>
    <row r="35" spans="3:20" s="63" customFormat="1">
      <c r="C35" s="28"/>
      <c r="D35" s="96" t="s">
        <v>5</v>
      </c>
      <c r="E35" s="96"/>
      <c r="F35" s="151">
        <f>F27+F31</f>
        <v>0</v>
      </c>
      <c r="G35" s="151">
        <f t="shared" ref="G35:H35" si="4">G27+G31</f>
        <v>0</v>
      </c>
      <c r="H35" s="302">
        <f t="shared" si="4"/>
        <v>0</v>
      </c>
      <c r="I35" s="151">
        <f t="shared" ref="I35:R35" si="5">I27+I31</f>
        <v>0</v>
      </c>
      <c r="J35" s="151">
        <f t="shared" si="5"/>
        <v>0</v>
      </c>
      <c r="K35" s="151">
        <f t="shared" si="5"/>
        <v>0</v>
      </c>
      <c r="L35" s="151">
        <f t="shared" si="5"/>
        <v>0</v>
      </c>
      <c r="M35" s="151">
        <f t="shared" si="5"/>
        <v>0</v>
      </c>
      <c r="N35" s="151">
        <f t="shared" si="5"/>
        <v>0</v>
      </c>
      <c r="O35" s="151">
        <f t="shared" si="5"/>
        <v>0</v>
      </c>
      <c r="P35" s="151">
        <f t="shared" si="5"/>
        <v>0</v>
      </c>
      <c r="Q35" s="151">
        <f t="shared" si="5"/>
        <v>0</v>
      </c>
      <c r="R35" s="151">
        <f t="shared" si="5"/>
        <v>0</v>
      </c>
      <c r="S35" s="151">
        <f t="shared" ref="S35" si="6">S27+S31</f>
        <v>0</v>
      </c>
      <c r="T35" s="151"/>
    </row>
    <row r="36" spans="3:20">
      <c r="C36" s="63"/>
      <c r="D36" s="64" t="s">
        <v>1</v>
      </c>
      <c r="E36" s="64"/>
      <c r="F36" s="410"/>
      <c r="G36" s="410"/>
      <c r="H36" s="412"/>
      <c r="I36" s="410"/>
      <c r="J36" s="410"/>
      <c r="K36" s="410"/>
      <c r="L36" s="410"/>
      <c r="M36" s="410"/>
      <c r="N36" s="410"/>
      <c r="O36" s="410"/>
      <c r="P36" s="410"/>
      <c r="Q36" s="410"/>
      <c r="R36" s="410"/>
      <c r="S36" s="410"/>
      <c r="T36" s="65"/>
    </row>
    <row r="37" spans="3:20">
      <c r="C37" s="63"/>
      <c r="D37" s="64" t="s">
        <v>0</v>
      </c>
      <c r="E37" s="64"/>
      <c r="F37" s="407"/>
      <c r="G37" s="408"/>
      <c r="H37" s="409"/>
      <c r="I37" s="410"/>
      <c r="J37" s="410"/>
      <c r="K37" s="410"/>
      <c r="L37" s="410"/>
      <c r="M37" s="410"/>
      <c r="N37" s="410"/>
      <c r="O37" s="410"/>
      <c r="P37" s="410"/>
      <c r="Q37" s="410"/>
      <c r="R37" s="410"/>
      <c r="S37" s="410"/>
      <c r="T37" s="65"/>
    </row>
    <row r="38" spans="3:20" s="63" customFormat="1">
      <c r="C38" s="28"/>
      <c r="D38" s="96"/>
      <c r="E38" s="96"/>
      <c r="F38" s="96"/>
      <c r="G38" s="96"/>
      <c r="H38" s="163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</row>
    <row r="39" spans="3:20">
      <c r="D39" s="96" t="s">
        <v>10</v>
      </c>
      <c r="E39" s="96"/>
      <c r="F39" s="164"/>
      <c r="G39" s="164"/>
      <c r="H39" s="303"/>
      <c r="I39" s="414"/>
      <c r="J39" s="414"/>
      <c r="K39" s="414"/>
      <c r="L39" s="414"/>
      <c r="M39" s="414"/>
      <c r="N39" s="414"/>
      <c r="O39" s="414"/>
      <c r="P39" s="414"/>
      <c r="Q39" s="414"/>
      <c r="R39" s="414"/>
      <c r="S39" s="414"/>
      <c r="T39" s="414" t="s">
        <v>165</v>
      </c>
    </row>
    <row r="40" spans="3:20">
      <c r="C40" s="63"/>
      <c r="D40" s="64" t="s">
        <v>6</v>
      </c>
      <c r="E40" s="64"/>
      <c r="F40" s="142"/>
      <c r="G40" s="142"/>
      <c r="H40" s="304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/>
      <c r="T40" s="142"/>
    </row>
    <row r="41" spans="3:20" s="63" customFormat="1">
      <c r="C41" s="28"/>
      <c r="D41" s="96"/>
      <c r="E41" s="96"/>
      <c r="F41" s="96"/>
      <c r="G41" s="96"/>
      <c r="H41" s="163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</row>
    <row r="42" spans="3:20" s="63" customFormat="1">
      <c r="C42" s="28"/>
      <c r="D42" s="96" t="s">
        <v>38</v>
      </c>
      <c r="E42" s="96"/>
      <c r="F42" s="164"/>
      <c r="G42" s="164"/>
      <c r="H42" s="303"/>
      <c r="I42" s="414"/>
      <c r="J42" s="414"/>
      <c r="K42" s="418"/>
      <c r="L42" s="414"/>
      <c r="M42" s="414"/>
      <c r="N42" s="414"/>
      <c r="O42" s="414"/>
      <c r="P42" s="414"/>
      <c r="Q42" s="414"/>
      <c r="R42" s="414"/>
      <c r="S42" s="414"/>
      <c r="T42" s="414" t="s">
        <v>166</v>
      </c>
    </row>
    <row r="43" spans="3:20">
      <c r="C43" s="63"/>
      <c r="D43" s="64" t="s">
        <v>1</v>
      </c>
      <c r="E43" s="64"/>
      <c r="F43" s="65"/>
      <c r="G43" s="65"/>
      <c r="H43" s="85"/>
      <c r="I43" s="410"/>
      <c r="J43" s="410"/>
      <c r="K43" s="410"/>
      <c r="L43" s="410"/>
      <c r="M43" s="410"/>
      <c r="N43" s="410"/>
      <c r="O43" s="410"/>
      <c r="P43" s="410"/>
      <c r="Q43" s="410"/>
      <c r="R43" s="410"/>
      <c r="S43" s="410"/>
      <c r="T43" s="65"/>
    </row>
    <row r="44" spans="3:20">
      <c r="C44" s="63"/>
      <c r="D44" s="64" t="s">
        <v>0</v>
      </c>
      <c r="E44" s="64"/>
      <c r="F44" s="64"/>
      <c r="G44" s="310"/>
      <c r="H44" s="311"/>
      <c r="I44" s="421"/>
      <c r="J44" s="410"/>
      <c r="K44" s="410"/>
      <c r="L44" s="410"/>
      <c r="M44" s="410"/>
      <c r="N44" s="410"/>
      <c r="O44" s="410"/>
      <c r="P44" s="410"/>
      <c r="Q44" s="410"/>
      <c r="R44" s="410"/>
      <c r="S44" s="410"/>
      <c r="T44" s="65"/>
    </row>
    <row r="45" spans="3:20">
      <c r="D45" s="96"/>
      <c r="E45" s="96"/>
      <c r="F45" s="96"/>
      <c r="G45" s="96"/>
      <c r="H45" s="163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</row>
    <row r="46" spans="3:20">
      <c r="D46" s="96" t="s">
        <v>4</v>
      </c>
      <c r="E46" s="96"/>
      <c r="F46" s="164"/>
      <c r="G46" s="164"/>
      <c r="H46" s="303"/>
      <c r="I46" s="164">
        <f t="shared" ref="I46" si="7">-I31</f>
        <v>0</v>
      </c>
      <c r="J46" s="414"/>
      <c r="K46" s="414"/>
      <c r="L46" s="414"/>
      <c r="M46" s="414"/>
      <c r="N46" s="414"/>
      <c r="O46" s="414"/>
      <c r="P46" s="414"/>
      <c r="Q46" s="414"/>
      <c r="R46" s="414"/>
      <c r="S46" s="414"/>
      <c r="T46" s="415"/>
    </row>
    <row r="47" spans="3:20" s="63" customFormat="1">
      <c r="C47" s="28"/>
      <c r="D47" s="96"/>
      <c r="E47" s="96"/>
      <c r="F47" s="96"/>
      <c r="G47" s="96"/>
      <c r="H47" s="163"/>
      <c r="I47" s="96"/>
      <c r="J47" s="96"/>
      <c r="K47" s="179"/>
      <c r="L47" s="179"/>
      <c r="M47" s="179"/>
      <c r="N47" s="179"/>
      <c r="O47" s="179"/>
      <c r="P47" s="179"/>
      <c r="Q47" s="179"/>
      <c r="R47" s="179"/>
      <c r="S47" s="179"/>
      <c r="T47" s="416"/>
    </row>
    <row r="48" spans="3:20" s="63" customFormat="1">
      <c r="C48" s="28"/>
      <c r="D48" s="96" t="s">
        <v>7</v>
      </c>
      <c r="E48" s="96"/>
      <c r="F48" s="396"/>
      <c r="G48" s="396"/>
      <c r="H48" s="397"/>
      <c r="I48" s="396"/>
      <c r="J48" s="396"/>
      <c r="K48" s="396"/>
      <c r="L48" s="396"/>
      <c r="M48" s="396"/>
      <c r="N48" s="396"/>
      <c r="O48" s="396"/>
      <c r="P48" s="396"/>
      <c r="Q48" s="396"/>
      <c r="R48" s="396"/>
      <c r="S48" s="396"/>
      <c r="T48" s="415"/>
    </row>
    <row r="49" spans="3:20">
      <c r="C49" s="63"/>
      <c r="D49" s="64" t="s">
        <v>24</v>
      </c>
      <c r="E49" s="64"/>
      <c r="F49" s="410"/>
      <c r="G49" s="410"/>
      <c r="H49" s="412"/>
      <c r="I49" s="410"/>
      <c r="J49" s="410"/>
      <c r="K49" s="410"/>
      <c r="L49" s="410"/>
      <c r="M49" s="410"/>
      <c r="N49" s="410"/>
      <c r="O49" s="410"/>
      <c r="P49" s="410"/>
      <c r="Q49" s="410"/>
      <c r="R49" s="410"/>
      <c r="S49" s="410"/>
      <c r="T49" s="417"/>
    </row>
    <row r="50" spans="3:20">
      <c r="C50" s="63"/>
      <c r="D50" s="64" t="s">
        <v>27</v>
      </c>
      <c r="E50" s="64"/>
      <c r="F50" s="410"/>
      <c r="G50" s="410"/>
      <c r="H50" s="412"/>
      <c r="I50" s="410"/>
      <c r="J50" s="410"/>
      <c r="K50" s="410"/>
      <c r="L50" s="410"/>
      <c r="M50" s="410"/>
      <c r="N50" s="410"/>
      <c r="O50" s="410"/>
      <c r="P50" s="410"/>
      <c r="Q50" s="410"/>
      <c r="R50" s="410"/>
      <c r="S50" s="410"/>
      <c r="T50" s="417"/>
    </row>
    <row r="51" spans="3:20" s="361" customFormat="1">
      <c r="C51" s="63"/>
      <c r="D51" s="64"/>
      <c r="E51" s="64"/>
      <c r="F51" s="65"/>
      <c r="G51" s="65"/>
      <c r="H51" s="8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417"/>
    </row>
    <row r="52" spans="3:20">
      <c r="D52" s="96" t="s">
        <v>39</v>
      </c>
      <c r="E52" s="96"/>
      <c r="F52" s="396"/>
      <c r="G52" s="396"/>
      <c r="H52" s="397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415"/>
    </row>
    <row r="53" spans="3:20">
      <c r="C53" s="63"/>
      <c r="D53" s="64" t="s">
        <v>24</v>
      </c>
      <c r="E53" s="64"/>
      <c r="F53" s="410"/>
      <c r="G53" s="410"/>
      <c r="H53" s="412"/>
      <c r="I53" s="410"/>
      <c r="J53" s="410"/>
      <c r="K53" s="410"/>
      <c r="L53" s="410"/>
      <c r="M53" s="410"/>
      <c r="N53" s="410"/>
      <c r="O53" s="410"/>
      <c r="P53" s="410"/>
      <c r="Q53" s="410"/>
      <c r="R53" s="410"/>
      <c r="S53" s="410"/>
      <c r="T53" s="65"/>
    </row>
    <row r="54" spans="3:20" s="361" customFormat="1">
      <c r="C54" s="63"/>
      <c r="D54" s="64"/>
      <c r="E54" s="64"/>
      <c r="F54" s="65"/>
      <c r="G54" s="65"/>
      <c r="H54" s="8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</row>
    <row r="55" spans="3:20" s="361" customFormat="1">
      <c r="C55" s="63"/>
      <c r="D55" s="96" t="s">
        <v>130</v>
      </c>
      <c r="E55" s="64"/>
      <c r="F55" s="396"/>
      <c r="G55" s="396"/>
      <c r="H55" s="397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65"/>
    </row>
    <row r="56" spans="3:20" s="361" customFormat="1">
      <c r="C56" s="63"/>
      <c r="D56" s="64" t="s">
        <v>24</v>
      </c>
      <c r="E56" s="64"/>
      <c r="F56" s="410"/>
      <c r="G56" s="410"/>
      <c r="H56" s="412"/>
      <c r="I56" s="410"/>
      <c r="J56" s="410"/>
      <c r="K56" s="410"/>
      <c r="L56" s="410"/>
      <c r="M56" s="410"/>
      <c r="N56" s="410"/>
      <c r="O56" s="410"/>
      <c r="P56" s="410"/>
      <c r="Q56" s="410"/>
      <c r="R56" s="410"/>
      <c r="S56" s="410"/>
      <c r="T56" s="65"/>
    </row>
    <row r="57" spans="3:20" s="361" customFormat="1">
      <c r="C57" s="63"/>
      <c r="D57" s="64"/>
      <c r="E57" s="64"/>
      <c r="F57" s="65"/>
      <c r="G57" s="65"/>
      <c r="H57" s="8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</row>
    <row r="58" spans="3:20" s="361" customFormat="1">
      <c r="C58" s="63"/>
      <c r="D58" s="96" t="s">
        <v>131</v>
      </c>
      <c r="E58" s="64"/>
      <c r="F58" s="396"/>
      <c r="G58" s="396"/>
      <c r="H58" s="397"/>
      <c r="I58" s="396"/>
      <c r="J58" s="396"/>
      <c r="K58" s="396"/>
      <c r="L58" s="396"/>
      <c r="M58" s="396"/>
      <c r="N58" s="396"/>
      <c r="O58" s="396"/>
      <c r="P58" s="396"/>
      <c r="Q58" s="396"/>
      <c r="R58" s="396"/>
      <c r="S58" s="396"/>
      <c r="T58" s="65"/>
    </row>
    <row r="59" spans="3:20" s="361" customFormat="1">
      <c r="C59" s="63"/>
      <c r="D59" s="64" t="s">
        <v>24</v>
      </c>
      <c r="E59" s="64"/>
      <c r="F59" s="410"/>
      <c r="G59" s="410"/>
      <c r="H59" s="412"/>
      <c r="I59" s="410"/>
      <c r="J59" s="410"/>
      <c r="K59" s="410"/>
      <c r="L59" s="410"/>
      <c r="M59" s="410"/>
      <c r="N59" s="410"/>
      <c r="O59" s="410"/>
      <c r="P59" s="410"/>
      <c r="Q59" s="410"/>
      <c r="R59" s="410"/>
      <c r="S59" s="410"/>
      <c r="T59" s="65"/>
    </row>
    <row r="60" spans="3:20">
      <c r="D60" s="158"/>
      <c r="E60" s="158"/>
      <c r="F60" s="158"/>
      <c r="G60" s="158"/>
      <c r="H60" s="85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</row>
    <row r="61" spans="3:20">
      <c r="D61" s="165" t="s">
        <v>40</v>
      </c>
      <c r="E61" s="165"/>
      <c r="F61" s="166"/>
      <c r="G61" s="166"/>
      <c r="H61" s="167"/>
      <c r="I61" s="419">
        <f>I42+I46+I48+I52+I55+I58</f>
        <v>0</v>
      </c>
      <c r="J61" s="419">
        <f t="shared" ref="J61:S61" si="8">J42+J46+J48+J52+J55+J58</f>
        <v>0</v>
      </c>
      <c r="K61" s="419">
        <f t="shared" si="8"/>
        <v>0</v>
      </c>
      <c r="L61" s="419">
        <f t="shared" si="8"/>
        <v>0</v>
      </c>
      <c r="M61" s="419">
        <f t="shared" si="8"/>
        <v>0</v>
      </c>
      <c r="N61" s="419">
        <f t="shared" si="8"/>
        <v>0</v>
      </c>
      <c r="O61" s="419">
        <f t="shared" si="8"/>
        <v>0</v>
      </c>
      <c r="P61" s="419">
        <f t="shared" si="8"/>
        <v>0</v>
      </c>
      <c r="Q61" s="419">
        <f t="shared" si="8"/>
        <v>0</v>
      </c>
      <c r="R61" s="419">
        <f t="shared" si="8"/>
        <v>0</v>
      </c>
      <c r="S61" s="419">
        <f t="shared" si="8"/>
        <v>0</v>
      </c>
      <c r="T61" s="166" t="s">
        <v>167</v>
      </c>
    </row>
    <row r="62" spans="3:20">
      <c r="D62" s="158"/>
      <c r="E62" s="158"/>
      <c r="F62" s="158"/>
      <c r="G62" s="158"/>
      <c r="H62" s="163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</row>
    <row r="63" spans="3:20" ht="12.75" customHeight="1">
      <c r="D63" s="42" t="s">
        <v>63</v>
      </c>
      <c r="E63" s="158"/>
      <c r="F63" s="158"/>
      <c r="G63" s="158"/>
      <c r="H63" s="163"/>
      <c r="I63" s="305">
        <f t="shared" ref="I63:S63" si="9">-I18*I61</f>
        <v>0</v>
      </c>
      <c r="J63" s="27">
        <f t="shared" si="9"/>
        <v>0</v>
      </c>
      <c r="K63" s="27">
        <f t="shared" si="9"/>
        <v>0</v>
      </c>
      <c r="L63" s="27">
        <f t="shared" si="9"/>
        <v>0</v>
      </c>
      <c r="M63" s="27">
        <f t="shared" si="9"/>
        <v>0</v>
      </c>
      <c r="N63" s="27">
        <f t="shared" si="9"/>
        <v>0</v>
      </c>
      <c r="O63" s="27">
        <f t="shared" si="9"/>
        <v>0</v>
      </c>
      <c r="P63" s="27">
        <f t="shared" si="9"/>
        <v>0</v>
      </c>
      <c r="Q63" s="27">
        <f t="shared" si="9"/>
        <v>0</v>
      </c>
      <c r="R63" s="27">
        <f t="shared" si="9"/>
        <v>0</v>
      </c>
      <c r="S63" s="27">
        <f t="shared" si="9"/>
        <v>0</v>
      </c>
      <c r="T63" s="27"/>
    </row>
    <row r="64" spans="3:20">
      <c r="D64" s="165" t="s">
        <v>41</v>
      </c>
      <c r="E64" s="165"/>
      <c r="F64" s="165"/>
      <c r="G64" s="165"/>
      <c r="H64" s="307"/>
      <c r="I64" s="168">
        <f>I63+I61</f>
        <v>0</v>
      </c>
      <c r="J64" s="169">
        <f t="shared" ref="J64:O64" si="10">J63+J61</f>
        <v>0</v>
      </c>
      <c r="K64" s="169">
        <f t="shared" si="10"/>
        <v>0</v>
      </c>
      <c r="L64" s="169">
        <f t="shared" si="10"/>
        <v>0</v>
      </c>
      <c r="M64" s="169">
        <f>M63+M61</f>
        <v>0</v>
      </c>
      <c r="N64" s="169">
        <f t="shared" si="10"/>
        <v>0</v>
      </c>
      <c r="O64" s="169">
        <f t="shared" si="10"/>
        <v>0</v>
      </c>
      <c r="P64" s="169">
        <f>P63+P61</f>
        <v>0</v>
      </c>
      <c r="Q64" s="169">
        <f>Q63+Q61</f>
        <v>0</v>
      </c>
      <c r="R64" s="169">
        <f>R63+R61</f>
        <v>0</v>
      </c>
      <c r="S64" s="169">
        <f>S63+S61</f>
        <v>0</v>
      </c>
      <c r="T64" s="169"/>
    </row>
    <row r="65" spans="4:20">
      <c r="D65" s="158"/>
      <c r="E65" s="158"/>
      <c r="F65" s="158"/>
      <c r="G65" s="158"/>
      <c r="H65" s="163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</row>
    <row r="66" spans="4:20" ht="12.75" customHeight="1">
      <c r="D66" s="97" t="s">
        <v>42</v>
      </c>
      <c r="E66" s="97"/>
      <c r="F66" s="97"/>
      <c r="G66" s="97"/>
      <c r="H66" s="308"/>
      <c r="I66" s="155">
        <f>(I22-F7)/2</f>
        <v>0</v>
      </c>
      <c r="J66" s="170">
        <f t="shared" ref="J66:S66" si="11">I66+365.25</f>
        <v>365.25</v>
      </c>
      <c r="K66" s="170">
        <f t="shared" si="11"/>
        <v>730.5</v>
      </c>
      <c r="L66" s="170">
        <f t="shared" si="11"/>
        <v>1095.75</v>
      </c>
      <c r="M66" s="170">
        <f t="shared" si="11"/>
        <v>1461</v>
      </c>
      <c r="N66" s="170">
        <f t="shared" si="11"/>
        <v>1826.25</v>
      </c>
      <c r="O66" s="170">
        <f t="shared" si="11"/>
        <v>2191.5</v>
      </c>
      <c r="P66" s="170">
        <f t="shared" si="11"/>
        <v>2556.75</v>
      </c>
      <c r="Q66" s="170">
        <f t="shared" si="11"/>
        <v>2922</v>
      </c>
      <c r="R66" s="170">
        <f t="shared" si="11"/>
        <v>3287.25</v>
      </c>
      <c r="S66" s="170">
        <f t="shared" si="11"/>
        <v>3652.5</v>
      </c>
      <c r="T66" s="170"/>
    </row>
    <row r="67" spans="4:20">
      <c r="D67" s="171" t="s">
        <v>43</v>
      </c>
      <c r="E67" s="171"/>
      <c r="F67" s="171"/>
      <c r="G67" s="171"/>
      <c r="H67" s="309"/>
      <c r="I67" s="156">
        <f>1/((1+$F$11)^(I66/365.25))</f>
        <v>1</v>
      </c>
      <c r="J67" s="172">
        <f>1/((1+$F$11)^(J66/365.25))</f>
        <v>0.92165898617511521</v>
      </c>
      <c r="K67" s="172">
        <f t="shared" ref="J67:Q67" si="12">1/((1+$F$11)^(K66/365.25))</f>
        <v>0.84945528679734128</v>
      </c>
      <c r="L67" s="172">
        <f t="shared" si="12"/>
        <v>0.78290809843072917</v>
      </c>
      <c r="M67" s="172">
        <f t="shared" si="12"/>
        <v>0.72157428426795334</v>
      </c>
      <c r="N67" s="172">
        <f t="shared" si="12"/>
        <v>0.66504542328843619</v>
      </c>
      <c r="O67" s="172">
        <f t="shared" si="12"/>
        <v>0.6129450905884205</v>
      </c>
      <c r="P67" s="172">
        <f t="shared" si="12"/>
        <v>0.56492635077273778</v>
      </c>
      <c r="Q67" s="172">
        <f t="shared" si="12"/>
        <v>0.52066944771680901</v>
      </c>
      <c r="R67" s="172">
        <f>1/((1+$F$11)^(R66/365.25))</f>
        <v>0.4798796753150314</v>
      </c>
      <c r="S67" s="172">
        <f>1/((1+$F$11)^(S66/365.25))</f>
        <v>0.44228541503689528</v>
      </c>
      <c r="T67" s="172"/>
    </row>
    <row r="68" spans="4:20"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27"/>
      <c r="S68" s="27"/>
      <c r="T68" s="27"/>
    </row>
    <row r="69" spans="4:20">
      <c r="D69" s="82" t="s">
        <v>44</v>
      </c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 t="s">
        <v>45</v>
      </c>
      <c r="Q69" s="82"/>
      <c r="R69" s="82"/>
      <c r="S69" s="82"/>
      <c r="T69" s="88">
        <f>S64*(1+F9)/(F11-F9)</f>
        <v>0</v>
      </c>
    </row>
    <row r="70" spans="4:20">
      <c r="D70" s="40"/>
      <c r="E70" s="40"/>
      <c r="F70" s="40"/>
      <c r="G70" s="40"/>
      <c r="H70" s="49"/>
      <c r="I70" s="40"/>
      <c r="J70" s="40"/>
      <c r="K70" s="40"/>
      <c r="L70" s="40"/>
      <c r="M70" s="40"/>
      <c r="N70" s="40"/>
      <c r="O70" s="40"/>
      <c r="P70" s="40" t="s">
        <v>46</v>
      </c>
      <c r="Q70" s="40"/>
      <c r="R70" s="40"/>
      <c r="S70" s="49"/>
      <c r="T70" s="89" t="e">
        <f>S27*F10</f>
        <v>#VALUE!</v>
      </c>
    </row>
    <row r="71" spans="4:20">
      <c r="Q71" s="2"/>
      <c r="R71" s="2"/>
      <c r="S71" s="2"/>
      <c r="T71" s="2"/>
    </row>
    <row r="72" spans="4:20">
      <c r="F72" s="53" t="s">
        <v>47</v>
      </c>
      <c r="G72" s="53"/>
      <c r="H72" s="53"/>
      <c r="I72" s="53"/>
      <c r="L72" s="53" t="s">
        <v>48</v>
      </c>
      <c r="M72" s="53"/>
      <c r="N72" s="53"/>
      <c r="O72" s="53"/>
    </row>
    <row r="73" spans="4:20" ht="4.5" customHeight="1"/>
    <row r="74" spans="4:20">
      <c r="F74" s="40" t="s">
        <v>49</v>
      </c>
      <c r="G74" s="40"/>
      <c r="H74" s="159" t="s">
        <v>143</v>
      </c>
      <c r="I74" s="159" t="s">
        <v>21</v>
      </c>
      <c r="L74" s="40" t="s">
        <v>49</v>
      </c>
      <c r="M74" s="90"/>
      <c r="N74" s="159" t="s">
        <v>143</v>
      </c>
      <c r="O74" s="159" t="s">
        <v>21</v>
      </c>
    </row>
    <row r="75" spans="4:20">
      <c r="F75" s="28" t="s">
        <v>50</v>
      </c>
      <c r="H75" s="368">
        <f>SUMPRODUCT($I$64:$T$64,$I$67:$T$67)</f>
        <v>0</v>
      </c>
      <c r="I75" s="61" t="e">
        <f>H75/$H$77</f>
        <v>#DIV/0!</v>
      </c>
      <c r="L75" s="28" t="s">
        <v>50</v>
      </c>
      <c r="N75" s="44">
        <f>SUMPRODUCT($G$64:$T$64,$G$67:$T$67)</f>
        <v>0</v>
      </c>
      <c r="O75" s="61" t="e">
        <f>N75/$N$77</f>
        <v>#VALUE!</v>
      </c>
    </row>
    <row r="76" spans="4:20">
      <c r="F76" s="28" t="s">
        <v>51</v>
      </c>
      <c r="H76" s="368">
        <f>T69*S67</f>
        <v>0</v>
      </c>
      <c r="I76" s="61" t="e">
        <f>H76/$H$77</f>
        <v>#DIV/0!</v>
      </c>
      <c r="L76" s="28" t="s">
        <v>51</v>
      </c>
      <c r="N76" s="44" t="e">
        <f>T70*R67</f>
        <v>#VALUE!</v>
      </c>
      <c r="O76" s="61" t="e">
        <f>N76/$N$77</f>
        <v>#VALUE!</v>
      </c>
    </row>
    <row r="77" spans="4:20">
      <c r="F77" s="25" t="s">
        <v>52</v>
      </c>
      <c r="G77" s="66"/>
      <c r="H77" s="369">
        <f>SUM(H75:H76)</f>
        <v>0</v>
      </c>
      <c r="I77" s="68" t="e">
        <f>SUM(I75:I76)</f>
        <v>#DIV/0!</v>
      </c>
      <c r="L77" s="25" t="s">
        <v>52</v>
      </c>
      <c r="M77" s="66"/>
      <c r="N77" s="56" t="e">
        <f>SUM(N75:N76)</f>
        <v>#VALUE!</v>
      </c>
      <c r="O77" s="68" t="e">
        <f>SUM(O75:O76)</f>
        <v>#VALUE!</v>
      </c>
    </row>
    <row r="78" spans="4:20">
      <c r="F78" s="96" t="s">
        <v>67</v>
      </c>
      <c r="G78" s="59"/>
      <c r="H78" s="187">
        <f>-SUM(Assumptions!$D$19:$D$22)</f>
        <v>-84.616813539584982</v>
      </c>
      <c r="I78" s="95"/>
      <c r="L78" s="96" t="s">
        <v>67</v>
      </c>
      <c r="M78" s="59"/>
      <c r="N78" s="187">
        <f>-SUM(Assumptions!$D$19:$D$22)</f>
        <v>-84.616813539584982</v>
      </c>
      <c r="O78" s="95"/>
    </row>
    <row r="79" spans="4:20">
      <c r="F79" s="25" t="s">
        <v>68</v>
      </c>
      <c r="G79" s="66"/>
      <c r="H79" s="369">
        <f>H77+H78</f>
        <v>-84.616813539584982</v>
      </c>
      <c r="I79" s="68"/>
      <c r="L79" s="25" t="s">
        <v>68</v>
      </c>
      <c r="M79" s="66"/>
      <c r="N79" s="56" t="e">
        <f>N77+N78</f>
        <v>#VALUE!</v>
      </c>
      <c r="O79" s="68"/>
    </row>
    <row r="80" spans="4:20">
      <c r="F80" s="97" t="s">
        <v>64</v>
      </c>
      <c r="G80" s="67"/>
      <c r="H80" s="370">
        <f>H79/Assumptions!$D$17*100</f>
        <v>-42.521011828937176</v>
      </c>
      <c r="I80" s="99"/>
      <c r="L80" s="97" t="s">
        <v>64</v>
      </c>
      <c r="M80" s="67"/>
      <c r="N80" s="98" t="e">
        <f>N79/Assumptions!$D$17*100</f>
        <v>#VALUE!</v>
      </c>
      <c r="O80" s="99"/>
    </row>
    <row r="81" spans="4:20">
      <c r="F81" s="100" t="s">
        <v>28</v>
      </c>
      <c r="G81" s="47"/>
      <c r="H81" s="371">
        <f>H80/Assumptions!$D$16-1</f>
        <v>-1.2577031019935587</v>
      </c>
      <c r="I81" s="102"/>
      <c r="L81" s="100" t="s">
        <v>28</v>
      </c>
      <c r="M81" s="47"/>
      <c r="N81" s="101" t="e">
        <f>N80/Assumptions!$D$16-1</f>
        <v>#VALUE!</v>
      </c>
      <c r="O81" s="102"/>
    </row>
    <row r="82" spans="4:20">
      <c r="H82" s="2"/>
    </row>
    <row r="83" spans="4:20">
      <c r="D83" s="53" t="s">
        <v>11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</row>
    <row r="84" spans="4:20" ht="4.5" customHeight="1"/>
    <row r="85" spans="4:20">
      <c r="D85" s="40" t="s">
        <v>53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9"/>
      <c r="S85" s="49"/>
      <c r="T85" s="82"/>
    </row>
    <row r="87" spans="4:20" ht="12.75" customHeight="1">
      <c r="E87" s="29" t="s">
        <v>32</v>
      </c>
      <c r="F87" s="399">
        <v>5.0000000000000001E-3</v>
      </c>
      <c r="G87" s="29" t="s">
        <v>54</v>
      </c>
      <c r="I87" s="401"/>
      <c r="L87" s="29" t="s">
        <v>55</v>
      </c>
      <c r="M87" s="402"/>
      <c r="N87" s="29" t="s">
        <v>56</v>
      </c>
      <c r="P87" s="403"/>
    </row>
    <row r="88" spans="4:20">
      <c r="E88" s="29" t="s">
        <v>35</v>
      </c>
      <c r="F88" s="400">
        <v>8.5000000000000006E-2</v>
      </c>
      <c r="G88" s="29" t="s">
        <v>57</v>
      </c>
      <c r="I88" s="401"/>
      <c r="L88" s="29" t="s">
        <v>35</v>
      </c>
      <c r="M88" s="60">
        <f>F88</f>
        <v>8.5000000000000006E-2</v>
      </c>
      <c r="N88" s="29" t="s">
        <v>57</v>
      </c>
      <c r="P88" s="143">
        <f>I88</f>
        <v>0</v>
      </c>
    </row>
    <row r="90" spans="4:20">
      <c r="E90" s="87" t="s">
        <v>58</v>
      </c>
      <c r="F90" s="87"/>
      <c r="G90" s="87"/>
      <c r="H90" s="87"/>
      <c r="I90" s="87"/>
      <c r="J90" s="87"/>
      <c r="L90" s="87" t="s">
        <v>59</v>
      </c>
      <c r="M90" s="87"/>
      <c r="N90" s="87"/>
      <c r="O90" s="87"/>
      <c r="P90" s="87"/>
      <c r="Q90" s="87"/>
      <c r="R90" s="127"/>
    </row>
    <row r="91" spans="4:20" ht="4.5" customHeight="1">
      <c r="R91" s="127"/>
    </row>
    <row r="92" spans="4:20">
      <c r="E92" s="86" t="s">
        <v>144</v>
      </c>
      <c r="F92" s="40"/>
      <c r="G92" s="40"/>
      <c r="H92" s="40"/>
      <c r="I92" s="40"/>
      <c r="J92" s="40"/>
      <c r="L92" s="86" t="s">
        <v>144</v>
      </c>
      <c r="M92" s="40"/>
      <c r="N92" s="40"/>
      <c r="O92" s="40"/>
      <c r="P92" s="40"/>
      <c r="Q92" s="40"/>
      <c r="R92" s="127"/>
    </row>
    <row r="93" spans="4:20">
      <c r="E93" s="32" t="s">
        <v>60</v>
      </c>
      <c r="F93" s="91" t="s">
        <v>61</v>
      </c>
      <c r="G93" s="57"/>
      <c r="H93" s="57"/>
      <c r="I93" s="57"/>
      <c r="J93" s="58"/>
      <c r="L93" s="32" t="s">
        <v>60</v>
      </c>
      <c r="M93" s="57" t="s">
        <v>62</v>
      </c>
      <c r="N93" s="57"/>
      <c r="O93" s="57"/>
      <c r="P93" s="57"/>
      <c r="Q93" s="58"/>
      <c r="R93" s="127"/>
    </row>
    <row r="94" spans="4:20" ht="12.75" customHeight="1">
      <c r="E94" s="69">
        <f>H77</f>
        <v>0</v>
      </c>
      <c r="F94" s="70">
        <f>G94-$I$87</f>
        <v>5.0000000000000001E-3</v>
      </c>
      <c r="G94" s="70">
        <f>H94-$I$87</f>
        <v>5.0000000000000001E-3</v>
      </c>
      <c r="H94" s="189">
        <f>$F$87</f>
        <v>5.0000000000000001E-3</v>
      </c>
      <c r="I94" s="70">
        <f>H94+$I$87</f>
        <v>5.0000000000000001E-3</v>
      </c>
      <c r="J94" s="71">
        <f>I94+$I$87</f>
        <v>5.0000000000000001E-3</v>
      </c>
      <c r="L94" s="69" t="e">
        <f>N77</f>
        <v>#VALUE!</v>
      </c>
      <c r="M94" s="335">
        <f>N94-$P$87</f>
        <v>0</v>
      </c>
      <c r="N94" s="335">
        <f>O94-$P$87</f>
        <v>0</v>
      </c>
      <c r="O94" s="336">
        <f>$M$87</f>
        <v>0</v>
      </c>
      <c r="P94" s="335">
        <f>O94+$P$87</f>
        <v>0</v>
      </c>
      <c r="Q94" s="337">
        <f>P94+$P$87</f>
        <v>0</v>
      </c>
      <c r="R94" s="127"/>
    </row>
    <row r="95" spans="4:20" ht="12.75" customHeight="1">
      <c r="E95" s="30">
        <f>E96-$I$88</f>
        <v>8.5000000000000006E-2</v>
      </c>
      <c r="F95" s="312">
        <f t="dataTable" ref="F95:J99" dt2D="1" dtr="1" r1="F9" r2="F11"/>
        <v>0</v>
      </c>
      <c r="G95" s="313">
        <v>0</v>
      </c>
      <c r="H95" s="314">
        <v>0</v>
      </c>
      <c r="I95" s="313">
        <v>0</v>
      </c>
      <c r="J95" s="315">
        <v>0</v>
      </c>
      <c r="L95" s="30">
        <f>L96-$I$88</f>
        <v>8.5000000000000006E-2</v>
      </c>
      <c r="M95" s="338">
        <f t="dataTable" ref="M95:Q99" dt2D="1" dtr="1" r1="F10" r2="F11" ca="1"/>
        <v>0</v>
      </c>
      <c r="N95" s="339">
        <v>0</v>
      </c>
      <c r="O95" s="339">
        <v>0</v>
      </c>
      <c r="P95" s="339">
        <v>0</v>
      </c>
      <c r="Q95" s="340">
        <v>0</v>
      </c>
      <c r="R95" s="127"/>
    </row>
    <row r="96" spans="4:20" ht="12.75" customHeight="1">
      <c r="E96" s="30">
        <f>E97-$I$88</f>
        <v>8.5000000000000006E-2</v>
      </c>
      <c r="F96" s="316">
        <v>0</v>
      </c>
      <c r="G96" s="317">
        <v>0</v>
      </c>
      <c r="H96" s="314">
        <v>0</v>
      </c>
      <c r="I96" s="317">
        <v>0</v>
      </c>
      <c r="J96" s="318">
        <v>0</v>
      </c>
      <c r="L96" s="30">
        <f>L97-$I$88</f>
        <v>8.5000000000000006E-2</v>
      </c>
      <c r="M96" s="341">
        <v>0</v>
      </c>
      <c r="N96" s="342">
        <v>0</v>
      </c>
      <c r="O96" s="343">
        <v>0</v>
      </c>
      <c r="P96" s="342">
        <v>0</v>
      </c>
      <c r="Q96" s="344">
        <v>0</v>
      </c>
      <c r="R96" s="77"/>
      <c r="S96" s="77"/>
      <c r="T96" s="77"/>
    </row>
    <row r="97" spans="4:20" ht="12.75" customHeight="1">
      <c r="E97" s="190">
        <f>$F$88</f>
        <v>8.5000000000000006E-2</v>
      </c>
      <c r="F97" s="316">
        <v>0</v>
      </c>
      <c r="G97" s="314">
        <v>0</v>
      </c>
      <c r="H97" s="317">
        <v>0</v>
      </c>
      <c r="I97" s="314">
        <v>0</v>
      </c>
      <c r="J97" s="318">
        <v>0</v>
      </c>
      <c r="L97" s="190">
        <f>$M$88</f>
        <v>8.5000000000000006E-2</v>
      </c>
      <c r="M97" s="341">
        <v>0</v>
      </c>
      <c r="N97" s="343">
        <v>0</v>
      </c>
      <c r="O97" s="342">
        <v>0</v>
      </c>
      <c r="P97" s="343">
        <v>0</v>
      </c>
      <c r="Q97" s="344">
        <v>0</v>
      </c>
      <c r="R97" s="77"/>
      <c r="S97" s="77"/>
      <c r="T97" s="77"/>
    </row>
    <row r="98" spans="4:20" ht="12.75" customHeight="1">
      <c r="E98" s="160">
        <f>E97+$I$88</f>
        <v>8.5000000000000006E-2</v>
      </c>
      <c r="F98" s="316">
        <v>0</v>
      </c>
      <c r="G98" s="317">
        <v>0</v>
      </c>
      <c r="H98" s="314">
        <v>0</v>
      </c>
      <c r="I98" s="317">
        <v>0</v>
      </c>
      <c r="J98" s="318">
        <v>0</v>
      </c>
      <c r="L98" s="160">
        <f>L97+$I$88</f>
        <v>8.5000000000000006E-2</v>
      </c>
      <c r="M98" s="341">
        <v>0</v>
      </c>
      <c r="N98" s="342">
        <v>0</v>
      </c>
      <c r="O98" s="343">
        <v>0</v>
      </c>
      <c r="P98" s="342">
        <v>0</v>
      </c>
      <c r="Q98" s="344">
        <v>0</v>
      </c>
      <c r="R98" s="77"/>
      <c r="S98" s="77"/>
      <c r="T98" s="77"/>
    </row>
    <row r="99" spans="4:20" ht="12.75" customHeight="1">
      <c r="E99" s="161">
        <f>E98+$I$88</f>
        <v>8.5000000000000006E-2</v>
      </c>
      <c r="F99" s="319">
        <v>0</v>
      </c>
      <c r="G99" s="320">
        <v>0</v>
      </c>
      <c r="H99" s="320">
        <v>0</v>
      </c>
      <c r="I99" s="320">
        <v>0</v>
      </c>
      <c r="J99" s="321">
        <v>0</v>
      </c>
      <c r="L99" s="161">
        <f>L98+$I$88</f>
        <v>8.5000000000000006E-2</v>
      </c>
      <c r="M99" s="345">
        <v>0</v>
      </c>
      <c r="N99" s="346">
        <v>0</v>
      </c>
      <c r="O99" s="346">
        <v>0</v>
      </c>
      <c r="P99" s="346">
        <v>0</v>
      </c>
      <c r="Q99" s="347">
        <v>0</v>
      </c>
      <c r="R99" s="77"/>
      <c r="S99" s="77"/>
      <c r="T99" s="77"/>
    </row>
    <row r="101" spans="4:20" s="127" customFormat="1">
      <c r="E101" s="86" t="s">
        <v>12</v>
      </c>
      <c r="F101" s="49"/>
      <c r="G101" s="49"/>
      <c r="H101" s="49"/>
      <c r="I101" s="49"/>
      <c r="J101" s="49"/>
      <c r="L101" s="86" t="s">
        <v>12</v>
      </c>
      <c r="M101" s="49"/>
      <c r="N101" s="49"/>
      <c r="O101" s="49"/>
      <c r="P101" s="49"/>
      <c r="Q101" s="49"/>
    </row>
    <row r="102" spans="4:20" s="127" customFormat="1">
      <c r="E102" s="32" t="s">
        <v>60</v>
      </c>
      <c r="F102" s="91" t="s">
        <v>61</v>
      </c>
      <c r="G102" s="104"/>
      <c r="H102" s="104"/>
      <c r="I102" s="104"/>
      <c r="J102" s="58"/>
      <c r="L102" s="32" t="s">
        <v>60</v>
      </c>
      <c r="M102" s="104" t="s">
        <v>62</v>
      </c>
      <c r="N102" s="104"/>
      <c r="O102" s="104"/>
      <c r="P102" s="104"/>
      <c r="Q102" s="58"/>
    </row>
    <row r="103" spans="4:20" s="127" customFormat="1">
      <c r="E103" s="192">
        <f>H80</f>
        <v>-42.521011828937176</v>
      </c>
      <c r="F103" s="332">
        <f>G103-$I$87</f>
        <v>5.0000000000000001E-3</v>
      </c>
      <c r="G103" s="332">
        <f>H103-$I$87</f>
        <v>5.0000000000000001E-3</v>
      </c>
      <c r="H103" s="333">
        <f>$F$87</f>
        <v>5.0000000000000001E-3</v>
      </c>
      <c r="I103" s="332">
        <f>H103+$I$87</f>
        <v>5.0000000000000001E-3</v>
      </c>
      <c r="J103" s="334">
        <f>I103+$I$87</f>
        <v>5.0000000000000001E-3</v>
      </c>
      <c r="L103" s="192" t="e">
        <f>N80</f>
        <v>#VALUE!</v>
      </c>
      <c r="M103" s="175">
        <f>N103-$P$87</f>
        <v>0</v>
      </c>
      <c r="N103" s="175">
        <f>O103-$P$87</f>
        <v>0</v>
      </c>
      <c r="O103" s="188">
        <f>$M$87</f>
        <v>0</v>
      </c>
      <c r="P103" s="175">
        <f>O103+$P$87</f>
        <v>0</v>
      </c>
      <c r="Q103" s="176">
        <f>P103+$P$87</f>
        <v>0</v>
      </c>
    </row>
    <row r="104" spans="4:20" s="127" customFormat="1">
      <c r="E104" s="30">
        <f>E105-$I$88</f>
        <v>8.5000000000000006E-2</v>
      </c>
      <c r="F104" s="322">
        <f>(F95-SUM(Assumptions!$D$19:$D$22))/Assumptions!$D$17*100</f>
        <v>-42.521011828937176</v>
      </c>
      <c r="G104" s="323">
        <f>(G95-SUM(Assumptions!$D$19:$D$22))/Assumptions!$D$17*100</f>
        <v>-42.521011828937176</v>
      </c>
      <c r="H104" s="324">
        <f>(H95-SUM(Assumptions!$D$19:$D$22))/Assumptions!$D$17*100</f>
        <v>-42.521011828937176</v>
      </c>
      <c r="I104" s="323">
        <f>(I95-SUM(Assumptions!$D$19:$D$22))/Assumptions!$D$17*100</f>
        <v>-42.521011828937176</v>
      </c>
      <c r="J104" s="325">
        <f>(J95-SUM(Assumptions!$D$19:$D$22))/Assumptions!$D$17*100</f>
        <v>-42.521011828937176</v>
      </c>
      <c r="L104" s="30">
        <f>L105-$I$88</f>
        <v>8.5000000000000006E-2</v>
      </c>
      <c r="M104" s="72">
        <f>(M95-SUM(Assumptions!$D$19:$D$22))/Assumptions!$D$17*100</f>
        <v>-42.521011828937176</v>
      </c>
      <c r="N104" s="73">
        <f>(N95-SUM(Assumptions!$D$19:$D$22))/Assumptions!$D$17*100</f>
        <v>-42.521011828937176</v>
      </c>
      <c r="O104" s="77">
        <f>(O95-SUM(Assumptions!$D$19:$D$22))/Assumptions!$D$17*100</f>
        <v>-42.521011828937176</v>
      </c>
      <c r="P104" s="73">
        <f>(P95-SUM(Assumptions!$D$19:$D$22))/Assumptions!$D$17*100</f>
        <v>-42.521011828937176</v>
      </c>
      <c r="Q104" s="74">
        <f>(Q95-SUM(Assumptions!$D$19:$D$22))/Assumptions!$D$17*100</f>
        <v>-42.521011828937176</v>
      </c>
    </row>
    <row r="105" spans="4:20" s="127" customFormat="1">
      <c r="E105" s="30">
        <f>E106-$I$88</f>
        <v>8.5000000000000006E-2</v>
      </c>
      <c r="F105" s="326">
        <f>(F96-SUM(Assumptions!$D$19:$D$22))/Assumptions!$D$17*100</f>
        <v>-42.521011828937176</v>
      </c>
      <c r="G105" s="327">
        <f>(G96-SUM(Assumptions!$D$19:$D$22))/Assumptions!$D$17*100</f>
        <v>-42.521011828937176</v>
      </c>
      <c r="H105" s="324">
        <f>(H96-SUM(Assumptions!$D$19:$D$22))/Assumptions!$D$17*100</f>
        <v>-42.521011828937176</v>
      </c>
      <c r="I105" s="327">
        <f>(I96-SUM(Assumptions!$D$19:$D$22))/Assumptions!$D$17*100</f>
        <v>-42.521011828937176</v>
      </c>
      <c r="J105" s="328">
        <f>(J96-SUM(Assumptions!$D$19:$D$22))/Assumptions!$D$17*100</f>
        <v>-42.521011828937176</v>
      </c>
      <c r="L105" s="30">
        <f>L106-$I$88</f>
        <v>8.5000000000000006E-2</v>
      </c>
      <c r="M105" s="75">
        <f>(M96-SUM(Assumptions!$D$19:$D$22))/Assumptions!$D$17*100</f>
        <v>-42.521011828937176</v>
      </c>
      <c r="N105" s="76">
        <f>(N96-SUM(Assumptions!$D$19:$D$22))/Assumptions!$D$17*100</f>
        <v>-42.521011828937176</v>
      </c>
      <c r="O105" s="77">
        <f>(O96-SUM(Assumptions!$D$19:$D$22))/Assumptions!$D$17*100</f>
        <v>-42.521011828937176</v>
      </c>
      <c r="P105" s="76">
        <f>(P96-SUM(Assumptions!$D$19:$D$22))/Assumptions!$D$17*100</f>
        <v>-42.521011828937176</v>
      </c>
      <c r="Q105" s="78">
        <f>(Q96-SUM(Assumptions!$D$19:$D$22))/Assumptions!$D$17*100</f>
        <v>-42.521011828937176</v>
      </c>
    </row>
    <row r="106" spans="4:20" s="127" customFormat="1">
      <c r="E106" s="190">
        <f>$F$88</f>
        <v>8.5000000000000006E-2</v>
      </c>
      <c r="F106" s="326">
        <f>(F97-SUM(Assumptions!$D$19:$D$22))/Assumptions!$D$17*100</f>
        <v>-42.521011828937176</v>
      </c>
      <c r="G106" s="324">
        <f>(G97-SUM(Assumptions!$D$19:$D$22))/Assumptions!$D$17*100</f>
        <v>-42.521011828937176</v>
      </c>
      <c r="H106" s="327">
        <f>(H97-SUM(Assumptions!$D$19:$D$22))/Assumptions!$D$17*100</f>
        <v>-42.521011828937176</v>
      </c>
      <c r="I106" s="324">
        <f>(I97-SUM(Assumptions!$D$19:$D$22))/Assumptions!$D$17*100</f>
        <v>-42.521011828937176</v>
      </c>
      <c r="J106" s="328">
        <f>(J97-SUM(Assumptions!$D$19:$D$22))/Assumptions!$D$17*100</f>
        <v>-42.521011828937176</v>
      </c>
      <c r="L106" s="190">
        <f>$M$88</f>
        <v>8.5000000000000006E-2</v>
      </c>
      <c r="M106" s="75">
        <f>(M97-SUM(Assumptions!$D$19:$D$22))/Assumptions!$D$17*100</f>
        <v>-42.521011828937176</v>
      </c>
      <c r="N106" s="77">
        <f>(N97-SUM(Assumptions!$D$19:$D$22))/Assumptions!$D$17*100</f>
        <v>-42.521011828937176</v>
      </c>
      <c r="O106" s="76">
        <f>(O97-SUM(Assumptions!$D$19:$D$22))/Assumptions!$D$17*100</f>
        <v>-42.521011828937176</v>
      </c>
      <c r="P106" s="77">
        <f>(P97-SUM(Assumptions!$D$19:$D$22))/Assumptions!$D$17*100</f>
        <v>-42.521011828937176</v>
      </c>
      <c r="Q106" s="78">
        <f>(Q97-SUM(Assumptions!$D$19:$D$22))/Assumptions!$D$17*100</f>
        <v>-42.521011828937176</v>
      </c>
    </row>
    <row r="107" spans="4:20" s="127" customFormat="1">
      <c r="E107" s="160">
        <f>E106+$I$88</f>
        <v>8.5000000000000006E-2</v>
      </c>
      <c r="F107" s="326">
        <f>(F98-SUM(Assumptions!$D$19:$D$22))/Assumptions!$D$17*100</f>
        <v>-42.521011828937176</v>
      </c>
      <c r="G107" s="327">
        <f>(G98-SUM(Assumptions!$D$19:$D$22))/Assumptions!$D$17*100</f>
        <v>-42.521011828937176</v>
      </c>
      <c r="H107" s="324">
        <f>(H98-SUM(Assumptions!$D$19:$D$22))/Assumptions!$D$17*100</f>
        <v>-42.521011828937176</v>
      </c>
      <c r="I107" s="327">
        <f>(I98-SUM(Assumptions!$D$19:$D$22))/Assumptions!$D$17*100</f>
        <v>-42.521011828937176</v>
      </c>
      <c r="J107" s="328">
        <f>(J98-SUM(Assumptions!$D$19:$D$22))/Assumptions!$D$17*100</f>
        <v>-42.521011828937176</v>
      </c>
      <c r="L107" s="160">
        <f>L106+$I$88</f>
        <v>8.5000000000000006E-2</v>
      </c>
      <c r="M107" s="75">
        <f>(M98-SUM(Assumptions!$D$19:$D$22))/Assumptions!$D$17*100</f>
        <v>-42.521011828937176</v>
      </c>
      <c r="N107" s="76">
        <f>(N98-SUM(Assumptions!$D$19:$D$22))/Assumptions!$D$17*100</f>
        <v>-42.521011828937176</v>
      </c>
      <c r="O107" s="77">
        <f>(O98-SUM(Assumptions!$D$19:$D$22))/Assumptions!$D$17*100</f>
        <v>-42.521011828937176</v>
      </c>
      <c r="P107" s="76">
        <f>(P98-SUM(Assumptions!$D$19:$D$22))/Assumptions!$D$17*100</f>
        <v>-42.521011828937176</v>
      </c>
      <c r="Q107" s="78">
        <f>(Q98-SUM(Assumptions!$D$19:$D$22))/Assumptions!$D$17*100</f>
        <v>-42.521011828937176</v>
      </c>
    </row>
    <row r="108" spans="4:20" s="127" customFormat="1">
      <c r="E108" s="161">
        <f>E107+$I$88</f>
        <v>8.5000000000000006E-2</v>
      </c>
      <c r="F108" s="329">
        <f>(F99-SUM(Assumptions!$D$19:$D$22))/Assumptions!$D$17*100</f>
        <v>-42.521011828937176</v>
      </c>
      <c r="G108" s="330">
        <f>(G99-SUM(Assumptions!$D$19:$D$22))/Assumptions!$D$17*100</f>
        <v>-42.521011828937176</v>
      </c>
      <c r="H108" s="330">
        <f>(H99-SUM(Assumptions!$D$19:$D$22))/Assumptions!$D$17*100</f>
        <v>-42.521011828937176</v>
      </c>
      <c r="I108" s="330">
        <f>(I99-SUM(Assumptions!$D$19:$D$22))/Assumptions!$D$17*100</f>
        <v>-42.521011828937176</v>
      </c>
      <c r="J108" s="331">
        <f>(J99-SUM(Assumptions!$D$19:$D$22))/Assumptions!$D$17*100</f>
        <v>-42.521011828937176</v>
      </c>
      <c r="L108" s="161">
        <f>L107+$I$88</f>
        <v>8.5000000000000006E-2</v>
      </c>
      <c r="M108" s="79">
        <f>(M99-SUM(Assumptions!$D$19:$D$22))/Assumptions!$D$17*100</f>
        <v>-42.521011828937176</v>
      </c>
      <c r="N108" s="80">
        <f>(N99-SUM(Assumptions!$D$19:$D$22))/Assumptions!$D$17*100</f>
        <v>-42.521011828937176</v>
      </c>
      <c r="O108" s="80">
        <f>(O99-SUM(Assumptions!$D$19:$D$22))/Assumptions!$D$17*100</f>
        <v>-42.521011828937176</v>
      </c>
      <c r="P108" s="80">
        <f>(P99-SUM(Assumptions!$D$19:$D$22))/Assumptions!$D$17*100</f>
        <v>-42.521011828937176</v>
      </c>
      <c r="Q108" s="81">
        <f>(Q99-SUM(Assumptions!$D$19:$D$22))/Assumptions!$D$17*100</f>
        <v>-42.521011828937176</v>
      </c>
    </row>
    <row r="109" spans="4:20" s="127" customFormat="1"/>
    <row r="110" spans="4:20">
      <c r="D110" s="105" t="s">
        <v>13</v>
      </c>
      <c r="E110" s="107"/>
      <c r="F110" s="108"/>
      <c r="G110" s="106"/>
      <c r="H110" s="107"/>
      <c r="I110" s="108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299"/>
    </row>
    <row r="111" spans="4:20">
      <c r="D111" s="116" t="str">
        <f>TEXT(Assumptions!$D$11,"mmmm")&amp;" YE ($mm)"</f>
        <v>March YE ($mm)</v>
      </c>
      <c r="E111" s="117"/>
      <c r="F111" s="118">
        <f t="shared" ref="F111:S111" si="13">F22</f>
        <v>42825</v>
      </c>
      <c r="G111" s="118">
        <f t="shared" si="13"/>
        <v>43190</v>
      </c>
      <c r="H111" s="177">
        <f t="shared" si="13"/>
        <v>43555</v>
      </c>
      <c r="I111" s="177">
        <f t="shared" si="13"/>
        <v>43921</v>
      </c>
      <c r="J111" s="177">
        <f t="shared" si="13"/>
        <v>44286</v>
      </c>
      <c r="K111" s="177">
        <f t="shared" si="13"/>
        <v>44651</v>
      </c>
      <c r="L111" s="177">
        <f t="shared" si="13"/>
        <v>45016</v>
      </c>
      <c r="M111" s="177">
        <f t="shared" si="13"/>
        <v>45382</v>
      </c>
      <c r="N111" s="177">
        <f t="shared" si="13"/>
        <v>45747</v>
      </c>
      <c r="O111" s="177">
        <f t="shared" si="13"/>
        <v>46112</v>
      </c>
      <c r="P111" s="177">
        <f t="shared" si="13"/>
        <v>46477</v>
      </c>
      <c r="Q111" s="177">
        <f t="shared" si="13"/>
        <v>46843</v>
      </c>
      <c r="R111" s="177">
        <f t="shared" si="13"/>
        <v>47208</v>
      </c>
      <c r="S111" s="177">
        <f t="shared" si="13"/>
        <v>47573</v>
      </c>
      <c r="T111" s="177"/>
    </row>
    <row r="112" spans="4:20">
      <c r="D112" s="42" t="s">
        <v>3</v>
      </c>
      <c r="E112" s="110"/>
      <c r="F112" s="144">
        <f t="shared" ref="F112:S112" si="14">F27</f>
        <v>0</v>
      </c>
      <c r="G112" s="144">
        <f t="shared" si="14"/>
        <v>0</v>
      </c>
      <c r="H112" s="144">
        <f t="shared" si="14"/>
        <v>0</v>
      </c>
      <c r="I112" s="144">
        <f t="shared" si="14"/>
        <v>0</v>
      </c>
      <c r="J112" s="144">
        <f t="shared" si="14"/>
        <v>0</v>
      </c>
      <c r="K112" s="144">
        <f t="shared" si="14"/>
        <v>0</v>
      </c>
      <c r="L112" s="144">
        <f t="shared" si="14"/>
        <v>0</v>
      </c>
      <c r="M112" s="144">
        <f t="shared" si="14"/>
        <v>0</v>
      </c>
      <c r="N112" s="144">
        <f t="shared" si="14"/>
        <v>0</v>
      </c>
      <c r="O112" s="144">
        <f t="shared" si="14"/>
        <v>0</v>
      </c>
      <c r="P112" s="144">
        <f t="shared" si="14"/>
        <v>0</v>
      </c>
      <c r="Q112" s="144">
        <f t="shared" si="14"/>
        <v>0</v>
      </c>
      <c r="R112" s="144">
        <f t="shared" si="14"/>
        <v>0</v>
      </c>
      <c r="S112" s="144">
        <f t="shared" si="14"/>
        <v>0</v>
      </c>
      <c r="T112" s="144"/>
    </row>
    <row r="113" spans="4:20">
      <c r="D113" s="43" t="s">
        <v>1</v>
      </c>
      <c r="E113" s="111"/>
      <c r="F113" s="148" t="e">
        <f>F112/F$24</f>
        <v>#DIV/0!</v>
      </c>
      <c r="G113" s="148" t="e">
        <f t="shared" ref="G113:R113" si="15">G112/G$24</f>
        <v>#DIV/0!</v>
      </c>
      <c r="H113" s="148" t="e">
        <f t="shared" si="15"/>
        <v>#DIV/0!</v>
      </c>
      <c r="I113" s="148" t="e">
        <f t="shared" si="15"/>
        <v>#DIV/0!</v>
      </c>
      <c r="J113" s="148">
        <f t="shared" si="15"/>
        <v>0</v>
      </c>
      <c r="K113" s="148">
        <f t="shared" si="15"/>
        <v>0</v>
      </c>
      <c r="L113" s="148">
        <f t="shared" si="15"/>
        <v>0</v>
      </c>
      <c r="M113" s="148">
        <f t="shared" si="15"/>
        <v>0</v>
      </c>
      <c r="N113" s="148" t="e">
        <f t="shared" si="15"/>
        <v>#DIV/0!</v>
      </c>
      <c r="O113" s="148" t="e">
        <f t="shared" si="15"/>
        <v>#DIV/0!</v>
      </c>
      <c r="P113" s="148" t="e">
        <f t="shared" si="15"/>
        <v>#DIV/0!</v>
      </c>
      <c r="Q113" s="148" t="e">
        <f t="shared" si="15"/>
        <v>#DIV/0!</v>
      </c>
      <c r="R113" s="148" t="e">
        <f t="shared" si="15"/>
        <v>#DIV/0!</v>
      </c>
      <c r="S113" s="148" t="e">
        <f t="shared" ref="S113" si="16">S112/S$24</f>
        <v>#DIV/0!</v>
      </c>
      <c r="T113" s="148"/>
    </row>
    <row r="114" spans="4:20">
      <c r="D114" s="42" t="s">
        <v>4</v>
      </c>
      <c r="E114" s="111"/>
      <c r="F114" s="145">
        <f t="shared" ref="F114:S114" si="17">F46</f>
        <v>0</v>
      </c>
      <c r="G114" s="145">
        <f t="shared" si="17"/>
        <v>0</v>
      </c>
      <c r="H114" s="145">
        <f t="shared" si="17"/>
        <v>0</v>
      </c>
      <c r="I114" s="145">
        <f t="shared" si="17"/>
        <v>0</v>
      </c>
      <c r="J114" s="145">
        <f t="shared" si="17"/>
        <v>0</v>
      </c>
      <c r="K114" s="145">
        <f t="shared" si="17"/>
        <v>0</v>
      </c>
      <c r="L114" s="145">
        <f t="shared" si="17"/>
        <v>0</v>
      </c>
      <c r="M114" s="145">
        <f t="shared" si="17"/>
        <v>0</v>
      </c>
      <c r="N114" s="145">
        <f t="shared" si="17"/>
        <v>0</v>
      </c>
      <c r="O114" s="145">
        <f t="shared" si="17"/>
        <v>0</v>
      </c>
      <c r="P114" s="145">
        <f t="shared" si="17"/>
        <v>0</v>
      </c>
      <c r="Q114" s="145">
        <f t="shared" si="17"/>
        <v>0</v>
      </c>
      <c r="R114" s="145">
        <f t="shared" si="17"/>
        <v>0</v>
      </c>
      <c r="S114" s="145">
        <f t="shared" si="17"/>
        <v>0</v>
      </c>
      <c r="T114" s="145"/>
    </row>
    <row r="115" spans="4:20">
      <c r="D115" s="43" t="s">
        <v>37</v>
      </c>
      <c r="E115" s="111"/>
      <c r="F115" s="148" t="e">
        <f t="shared" ref="F115:S115" si="18">-F114/F48</f>
        <v>#DIV/0!</v>
      </c>
      <c r="G115" s="148" t="e">
        <f t="shared" si="18"/>
        <v>#DIV/0!</v>
      </c>
      <c r="H115" s="148" t="e">
        <f t="shared" si="18"/>
        <v>#DIV/0!</v>
      </c>
      <c r="I115" s="148" t="e">
        <f t="shared" si="18"/>
        <v>#DIV/0!</v>
      </c>
      <c r="J115" s="148" t="e">
        <f t="shared" si="18"/>
        <v>#DIV/0!</v>
      </c>
      <c r="K115" s="148" t="e">
        <f t="shared" si="18"/>
        <v>#DIV/0!</v>
      </c>
      <c r="L115" s="148" t="e">
        <f t="shared" si="18"/>
        <v>#DIV/0!</v>
      </c>
      <c r="M115" s="148" t="e">
        <f t="shared" si="18"/>
        <v>#DIV/0!</v>
      </c>
      <c r="N115" s="148" t="e">
        <f t="shared" si="18"/>
        <v>#DIV/0!</v>
      </c>
      <c r="O115" s="148" t="e">
        <f t="shared" si="18"/>
        <v>#DIV/0!</v>
      </c>
      <c r="P115" s="148" t="e">
        <f t="shared" si="18"/>
        <v>#DIV/0!</v>
      </c>
      <c r="Q115" s="148" t="e">
        <f t="shared" si="18"/>
        <v>#DIV/0!</v>
      </c>
      <c r="R115" s="148" t="e">
        <f t="shared" si="18"/>
        <v>#DIV/0!</v>
      </c>
      <c r="S115" s="148" t="e">
        <f t="shared" si="18"/>
        <v>#DIV/0!</v>
      </c>
      <c r="T115" s="148"/>
    </row>
    <row r="116" spans="4:20" ht="12.75" customHeight="1">
      <c r="D116" s="42" t="s">
        <v>5</v>
      </c>
      <c r="E116" s="109"/>
      <c r="F116" s="146">
        <f t="shared" ref="F116:S116" si="19">F35</f>
        <v>0</v>
      </c>
      <c r="G116" s="146">
        <f t="shared" si="19"/>
        <v>0</v>
      </c>
      <c r="H116" s="146">
        <f t="shared" si="19"/>
        <v>0</v>
      </c>
      <c r="I116" s="146">
        <f t="shared" si="19"/>
        <v>0</v>
      </c>
      <c r="J116" s="146">
        <f t="shared" si="19"/>
        <v>0</v>
      </c>
      <c r="K116" s="146">
        <f t="shared" si="19"/>
        <v>0</v>
      </c>
      <c r="L116" s="146">
        <f t="shared" si="19"/>
        <v>0</v>
      </c>
      <c r="M116" s="146">
        <f t="shared" si="19"/>
        <v>0</v>
      </c>
      <c r="N116" s="146">
        <f t="shared" si="19"/>
        <v>0</v>
      </c>
      <c r="O116" s="146">
        <f t="shared" si="19"/>
        <v>0</v>
      </c>
      <c r="P116" s="146">
        <f t="shared" si="19"/>
        <v>0</v>
      </c>
      <c r="Q116" s="146">
        <f t="shared" si="19"/>
        <v>0</v>
      </c>
      <c r="R116" s="146">
        <f t="shared" si="19"/>
        <v>0</v>
      </c>
      <c r="S116" s="146">
        <f t="shared" si="19"/>
        <v>0</v>
      </c>
      <c r="T116" s="146"/>
    </row>
    <row r="117" spans="4:20">
      <c r="D117" s="43" t="s">
        <v>1</v>
      </c>
      <c r="E117" s="112"/>
      <c r="F117" s="148" t="e">
        <f>F116/F$24</f>
        <v>#DIV/0!</v>
      </c>
      <c r="G117" s="148" t="e">
        <f t="shared" ref="G117:R117" si="20">G116/G$24</f>
        <v>#DIV/0!</v>
      </c>
      <c r="H117" s="148" t="e">
        <f t="shared" si="20"/>
        <v>#DIV/0!</v>
      </c>
      <c r="I117" s="148" t="e">
        <f t="shared" si="20"/>
        <v>#DIV/0!</v>
      </c>
      <c r="J117" s="148">
        <f t="shared" si="20"/>
        <v>0</v>
      </c>
      <c r="K117" s="148">
        <f t="shared" si="20"/>
        <v>0</v>
      </c>
      <c r="L117" s="148">
        <f t="shared" si="20"/>
        <v>0</v>
      </c>
      <c r="M117" s="148">
        <f t="shared" si="20"/>
        <v>0</v>
      </c>
      <c r="N117" s="148" t="e">
        <f t="shared" si="20"/>
        <v>#DIV/0!</v>
      </c>
      <c r="O117" s="148" t="e">
        <f t="shared" si="20"/>
        <v>#DIV/0!</v>
      </c>
      <c r="P117" s="148" t="e">
        <f t="shared" si="20"/>
        <v>#DIV/0!</v>
      </c>
      <c r="Q117" s="148" t="e">
        <f t="shared" si="20"/>
        <v>#DIV/0!</v>
      </c>
      <c r="R117" s="148" t="e">
        <f t="shared" si="20"/>
        <v>#DIV/0!</v>
      </c>
      <c r="S117" s="148" t="e">
        <f t="shared" ref="S117" si="21">S116/S$24</f>
        <v>#DIV/0!</v>
      </c>
      <c r="T117" s="148"/>
    </row>
    <row r="118" spans="4:20">
      <c r="D118" s="42" t="s">
        <v>10</v>
      </c>
      <c r="E118" s="112"/>
      <c r="F118" s="145">
        <f t="shared" ref="F118:S118" si="22">F39</f>
        <v>0</v>
      </c>
      <c r="G118" s="145">
        <f t="shared" si="22"/>
        <v>0</v>
      </c>
      <c r="H118" s="145">
        <f t="shared" si="22"/>
        <v>0</v>
      </c>
      <c r="I118" s="145">
        <f t="shared" si="22"/>
        <v>0</v>
      </c>
      <c r="J118" s="145">
        <f t="shared" si="22"/>
        <v>0</v>
      </c>
      <c r="K118" s="145">
        <f t="shared" si="22"/>
        <v>0</v>
      </c>
      <c r="L118" s="145">
        <f t="shared" si="22"/>
        <v>0</v>
      </c>
      <c r="M118" s="145">
        <f t="shared" si="22"/>
        <v>0</v>
      </c>
      <c r="N118" s="145">
        <f t="shared" si="22"/>
        <v>0</v>
      </c>
      <c r="O118" s="145">
        <f t="shared" si="22"/>
        <v>0</v>
      </c>
      <c r="P118" s="145">
        <f t="shared" si="22"/>
        <v>0</v>
      </c>
      <c r="Q118" s="145">
        <f t="shared" si="22"/>
        <v>0</v>
      </c>
      <c r="R118" s="145">
        <f t="shared" si="22"/>
        <v>0</v>
      </c>
      <c r="S118" s="145">
        <f t="shared" si="22"/>
        <v>0</v>
      </c>
      <c r="T118" s="145"/>
    </row>
    <row r="119" spans="4:20">
      <c r="D119" s="43" t="s">
        <v>65</v>
      </c>
      <c r="E119" s="112"/>
      <c r="F119" s="148">
        <f t="shared" ref="F119:S119" si="23">F40</f>
        <v>0</v>
      </c>
      <c r="G119" s="148">
        <f t="shared" si="23"/>
        <v>0</v>
      </c>
      <c r="H119" s="148">
        <f t="shared" si="23"/>
        <v>0</v>
      </c>
      <c r="I119" s="148">
        <f t="shared" si="23"/>
        <v>0</v>
      </c>
      <c r="J119" s="148">
        <f t="shared" si="23"/>
        <v>0</v>
      </c>
      <c r="K119" s="148">
        <f t="shared" si="23"/>
        <v>0</v>
      </c>
      <c r="L119" s="148">
        <f t="shared" si="23"/>
        <v>0</v>
      </c>
      <c r="M119" s="148">
        <f t="shared" si="23"/>
        <v>0</v>
      </c>
      <c r="N119" s="148">
        <f t="shared" si="23"/>
        <v>0</v>
      </c>
      <c r="O119" s="148">
        <f t="shared" si="23"/>
        <v>0</v>
      </c>
      <c r="P119" s="148">
        <f t="shared" si="23"/>
        <v>0</v>
      </c>
      <c r="Q119" s="148">
        <f t="shared" si="23"/>
        <v>0</v>
      </c>
      <c r="R119" s="148">
        <f t="shared" si="23"/>
        <v>0</v>
      </c>
      <c r="S119" s="148">
        <f t="shared" si="23"/>
        <v>0</v>
      </c>
      <c r="T119" s="148"/>
    </row>
    <row r="120" spans="4:20">
      <c r="D120" s="42" t="s">
        <v>38</v>
      </c>
      <c r="E120" s="112"/>
      <c r="F120" s="145">
        <f t="shared" ref="F120:S120" si="24">F42</f>
        <v>0</v>
      </c>
      <c r="G120" s="145">
        <f t="shared" si="24"/>
        <v>0</v>
      </c>
      <c r="H120" s="145">
        <f t="shared" si="24"/>
        <v>0</v>
      </c>
      <c r="I120" s="145">
        <f t="shared" si="24"/>
        <v>0</v>
      </c>
      <c r="J120" s="145">
        <f t="shared" si="24"/>
        <v>0</v>
      </c>
      <c r="K120" s="145">
        <f t="shared" si="24"/>
        <v>0</v>
      </c>
      <c r="L120" s="145">
        <f t="shared" si="24"/>
        <v>0</v>
      </c>
      <c r="M120" s="145">
        <f t="shared" si="24"/>
        <v>0</v>
      </c>
      <c r="N120" s="145">
        <f t="shared" si="24"/>
        <v>0</v>
      </c>
      <c r="O120" s="145">
        <f t="shared" si="24"/>
        <v>0</v>
      </c>
      <c r="P120" s="145">
        <f t="shared" si="24"/>
        <v>0</v>
      </c>
      <c r="Q120" s="145">
        <f t="shared" si="24"/>
        <v>0</v>
      </c>
      <c r="R120" s="145">
        <f t="shared" si="24"/>
        <v>0</v>
      </c>
      <c r="S120" s="145">
        <f t="shared" si="24"/>
        <v>0</v>
      </c>
      <c r="T120" s="145"/>
    </row>
    <row r="121" spans="4:20">
      <c r="D121" s="131" t="s">
        <v>71</v>
      </c>
      <c r="E121" s="112"/>
      <c r="F121" s="145">
        <f t="shared" ref="F121:S121" si="25">-F31</f>
        <v>0</v>
      </c>
      <c r="G121" s="145">
        <f t="shared" si="25"/>
        <v>0</v>
      </c>
      <c r="H121" s="145">
        <f t="shared" si="25"/>
        <v>0</v>
      </c>
      <c r="I121" s="145">
        <f t="shared" si="25"/>
        <v>0</v>
      </c>
      <c r="J121" s="145">
        <f t="shared" si="25"/>
        <v>0</v>
      </c>
      <c r="K121" s="145">
        <f t="shared" si="25"/>
        <v>0</v>
      </c>
      <c r="L121" s="145">
        <f t="shared" si="25"/>
        <v>0</v>
      </c>
      <c r="M121" s="145">
        <f t="shared" si="25"/>
        <v>0</v>
      </c>
      <c r="N121" s="145">
        <f t="shared" si="25"/>
        <v>0</v>
      </c>
      <c r="O121" s="145">
        <f t="shared" si="25"/>
        <v>0</v>
      </c>
      <c r="P121" s="145">
        <f t="shared" si="25"/>
        <v>0</v>
      </c>
      <c r="Q121" s="145">
        <f t="shared" si="25"/>
        <v>0</v>
      </c>
      <c r="R121" s="145">
        <f t="shared" si="25"/>
        <v>0</v>
      </c>
      <c r="S121" s="145">
        <f t="shared" si="25"/>
        <v>0</v>
      </c>
      <c r="T121" s="145"/>
    </row>
    <row r="122" spans="4:20">
      <c r="D122" s="131" t="s">
        <v>132</v>
      </c>
      <c r="E122" s="112"/>
      <c r="F122" s="145">
        <f t="shared" ref="F122:S122" si="26">F48</f>
        <v>0</v>
      </c>
      <c r="G122" s="145">
        <f t="shared" si="26"/>
        <v>0</v>
      </c>
      <c r="H122" s="145">
        <f t="shared" si="26"/>
        <v>0</v>
      </c>
      <c r="I122" s="145">
        <f t="shared" si="26"/>
        <v>0</v>
      </c>
      <c r="J122" s="145">
        <f t="shared" si="26"/>
        <v>0</v>
      </c>
      <c r="K122" s="145">
        <f t="shared" si="26"/>
        <v>0</v>
      </c>
      <c r="L122" s="145">
        <f t="shared" si="26"/>
        <v>0</v>
      </c>
      <c r="M122" s="145">
        <f t="shared" si="26"/>
        <v>0</v>
      </c>
      <c r="N122" s="145">
        <f t="shared" si="26"/>
        <v>0</v>
      </c>
      <c r="O122" s="145">
        <f t="shared" si="26"/>
        <v>0</v>
      </c>
      <c r="P122" s="145">
        <f t="shared" si="26"/>
        <v>0</v>
      </c>
      <c r="Q122" s="145">
        <f t="shared" si="26"/>
        <v>0</v>
      </c>
      <c r="R122" s="145">
        <f t="shared" si="26"/>
        <v>0</v>
      </c>
      <c r="S122" s="145">
        <f t="shared" si="26"/>
        <v>0</v>
      </c>
      <c r="T122" s="145"/>
    </row>
    <row r="123" spans="4:20">
      <c r="D123" s="131" t="s">
        <v>72</v>
      </c>
      <c r="E123" s="112"/>
      <c r="F123" s="145">
        <f t="shared" ref="F123:S123" si="27">F52</f>
        <v>0</v>
      </c>
      <c r="G123" s="145">
        <f t="shared" si="27"/>
        <v>0</v>
      </c>
      <c r="H123" s="147">
        <f t="shared" si="27"/>
        <v>0</v>
      </c>
      <c r="I123" s="147">
        <f t="shared" si="27"/>
        <v>0</v>
      </c>
      <c r="J123" s="147">
        <f t="shared" si="27"/>
        <v>0</v>
      </c>
      <c r="K123" s="147">
        <f t="shared" si="27"/>
        <v>0</v>
      </c>
      <c r="L123" s="147">
        <f t="shared" si="27"/>
        <v>0</v>
      </c>
      <c r="M123" s="147">
        <f t="shared" si="27"/>
        <v>0</v>
      </c>
      <c r="N123" s="147">
        <f t="shared" si="27"/>
        <v>0</v>
      </c>
      <c r="O123" s="147">
        <f t="shared" si="27"/>
        <v>0</v>
      </c>
      <c r="P123" s="147">
        <f t="shared" si="27"/>
        <v>0</v>
      </c>
      <c r="Q123" s="147">
        <f t="shared" si="27"/>
        <v>0</v>
      </c>
      <c r="R123" s="147">
        <f t="shared" si="27"/>
        <v>0</v>
      </c>
      <c r="S123" s="147">
        <f t="shared" si="27"/>
        <v>0</v>
      </c>
      <c r="T123" s="147"/>
    </row>
    <row r="124" spans="4:20" s="361" customFormat="1">
      <c r="D124" s="131" t="s">
        <v>133</v>
      </c>
      <c r="E124" s="112"/>
      <c r="F124" s="145">
        <f t="shared" ref="F124:S124" si="28">+F58</f>
        <v>0</v>
      </c>
      <c r="G124" s="145">
        <f t="shared" si="28"/>
        <v>0</v>
      </c>
      <c r="H124" s="145">
        <f t="shared" si="28"/>
        <v>0</v>
      </c>
      <c r="I124" s="145">
        <f t="shared" si="28"/>
        <v>0</v>
      </c>
      <c r="J124" s="145">
        <f t="shared" si="28"/>
        <v>0</v>
      </c>
      <c r="K124" s="145">
        <f t="shared" si="28"/>
        <v>0</v>
      </c>
      <c r="L124" s="145">
        <f t="shared" si="28"/>
        <v>0</v>
      </c>
      <c r="M124" s="145">
        <f t="shared" si="28"/>
        <v>0</v>
      </c>
      <c r="N124" s="145">
        <f t="shared" si="28"/>
        <v>0</v>
      </c>
      <c r="O124" s="145">
        <f t="shared" si="28"/>
        <v>0</v>
      </c>
      <c r="P124" s="145">
        <f t="shared" si="28"/>
        <v>0</v>
      </c>
      <c r="Q124" s="145">
        <f t="shared" si="28"/>
        <v>0</v>
      </c>
      <c r="R124" s="145">
        <f t="shared" si="28"/>
        <v>0</v>
      </c>
      <c r="S124" s="145">
        <f t="shared" si="28"/>
        <v>0</v>
      </c>
      <c r="T124" s="147"/>
    </row>
    <row r="125" spans="4:20" s="361" customFormat="1">
      <c r="D125" s="131" t="s">
        <v>134</v>
      </c>
      <c r="E125" s="112"/>
      <c r="F125" s="145">
        <f t="shared" ref="F125:S125" si="29">+F55</f>
        <v>0</v>
      </c>
      <c r="G125" s="145">
        <f t="shared" si="29"/>
        <v>0</v>
      </c>
      <c r="H125" s="145">
        <f t="shared" si="29"/>
        <v>0</v>
      </c>
      <c r="I125" s="145">
        <f t="shared" si="29"/>
        <v>0</v>
      </c>
      <c r="J125" s="145">
        <f t="shared" si="29"/>
        <v>0</v>
      </c>
      <c r="K125" s="145">
        <f t="shared" si="29"/>
        <v>0</v>
      </c>
      <c r="L125" s="145">
        <f t="shared" si="29"/>
        <v>0</v>
      </c>
      <c r="M125" s="145">
        <f t="shared" si="29"/>
        <v>0</v>
      </c>
      <c r="N125" s="145">
        <f t="shared" si="29"/>
        <v>0</v>
      </c>
      <c r="O125" s="145">
        <f t="shared" si="29"/>
        <v>0</v>
      </c>
      <c r="P125" s="145">
        <f t="shared" si="29"/>
        <v>0</v>
      </c>
      <c r="Q125" s="145">
        <f t="shared" si="29"/>
        <v>0</v>
      </c>
      <c r="R125" s="145">
        <f t="shared" si="29"/>
        <v>0</v>
      </c>
      <c r="S125" s="145">
        <f t="shared" si="29"/>
        <v>0</v>
      </c>
      <c r="T125" s="147"/>
    </row>
    <row r="126" spans="4:20">
      <c r="D126" s="43"/>
      <c r="E126" s="113"/>
      <c r="F126" s="113"/>
      <c r="G126" s="132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</row>
    <row r="127" spans="4:20">
      <c r="D127" s="114" t="s">
        <v>40</v>
      </c>
      <c r="E127" s="115"/>
      <c r="F127" s="156">
        <f>SUM(F120:F125)</f>
        <v>0</v>
      </c>
      <c r="G127" s="156">
        <f t="shared" ref="G127:S127" si="30">SUM(G120:G125)</f>
        <v>0</v>
      </c>
      <c r="H127" s="156">
        <f t="shared" si="30"/>
        <v>0</v>
      </c>
      <c r="I127" s="156">
        <f t="shared" si="30"/>
        <v>0</v>
      </c>
      <c r="J127" s="156">
        <f>SUM(J120:J125)</f>
        <v>0</v>
      </c>
      <c r="K127" s="156">
        <f t="shared" si="30"/>
        <v>0</v>
      </c>
      <c r="L127" s="156">
        <f t="shared" si="30"/>
        <v>0</v>
      </c>
      <c r="M127" s="156">
        <f t="shared" si="30"/>
        <v>0</v>
      </c>
      <c r="N127" s="156">
        <f t="shared" si="30"/>
        <v>0</v>
      </c>
      <c r="O127" s="156">
        <f t="shared" si="30"/>
        <v>0</v>
      </c>
      <c r="P127" s="156">
        <f t="shared" si="30"/>
        <v>0</v>
      </c>
      <c r="Q127" s="156">
        <f t="shared" si="30"/>
        <v>0</v>
      </c>
      <c r="R127" s="156">
        <f t="shared" si="30"/>
        <v>0</v>
      </c>
      <c r="S127" s="156">
        <f t="shared" si="30"/>
        <v>0</v>
      </c>
      <c r="T127" s="156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Views>
    <sheetView showGridLines="0" zoomScaleNormal="100" workbookViewId="0">
      <selection activeCell="D1" sqref="D1"/>
    </sheetView>
  </sheetViews>
  <sheetFormatPr defaultColWidth="8.77734375" defaultRowHeight="13.2"/>
  <cols>
    <col min="1" max="2" width="2.6640625" style="206" customWidth="1"/>
    <col min="3" max="5" width="12" style="206" customWidth="1"/>
    <col min="6" max="7" width="9.109375" style="206"/>
    <col min="8" max="8" width="0.77734375" style="206" customWidth="1"/>
    <col min="9" max="19" width="12.6640625" style="206" customWidth="1"/>
    <col min="20" max="253" width="9.109375" style="206"/>
    <col min="254" max="255" width="2.6640625" style="206" customWidth="1"/>
    <col min="256" max="258" width="12" style="206" customWidth="1"/>
    <col min="259" max="260" width="9.109375" style="206"/>
    <col min="261" max="261" width="0.77734375" style="206" customWidth="1"/>
    <col min="262" max="275" width="7.6640625" style="206" customWidth="1"/>
    <col min="276" max="509" width="9.109375" style="206"/>
    <col min="510" max="511" width="2.6640625" style="206" customWidth="1"/>
    <col min="512" max="514" width="12" style="206" customWidth="1"/>
    <col min="515" max="516" width="9.109375" style="206"/>
    <col min="517" max="517" width="0.77734375" style="206" customWidth="1"/>
    <col min="518" max="531" width="7.6640625" style="206" customWidth="1"/>
    <col min="532" max="765" width="9.109375" style="206"/>
    <col min="766" max="767" width="2.6640625" style="206" customWidth="1"/>
    <col min="768" max="770" width="12" style="206" customWidth="1"/>
    <col min="771" max="772" width="9.109375" style="206"/>
    <col min="773" max="773" width="0.77734375" style="206" customWidth="1"/>
    <col min="774" max="787" width="7.6640625" style="206" customWidth="1"/>
    <col min="788" max="1021" width="9.109375" style="206"/>
    <col min="1022" max="1023" width="2.6640625" style="206" customWidth="1"/>
    <col min="1024" max="1026" width="12" style="206" customWidth="1"/>
    <col min="1027" max="1028" width="9.109375" style="206"/>
    <col min="1029" max="1029" width="0.77734375" style="206" customWidth="1"/>
    <col min="1030" max="1043" width="7.6640625" style="206" customWidth="1"/>
    <col min="1044" max="1277" width="9.109375" style="206"/>
    <col min="1278" max="1279" width="2.6640625" style="206" customWidth="1"/>
    <col min="1280" max="1282" width="12" style="206" customWidth="1"/>
    <col min="1283" max="1284" width="9.109375" style="206"/>
    <col min="1285" max="1285" width="0.77734375" style="206" customWidth="1"/>
    <col min="1286" max="1299" width="7.6640625" style="206" customWidth="1"/>
    <col min="1300" max="1533" width="9.109375" style="206"/>
    <col min="1534" max="1535" width="2.6640625" style="206" customWidth="1"/>
    <col min="1536" max="1538" width="12" style="206" customWidth="1"/>
    <col min="1539" max="1540" width="9.109375" style="206"/>
    <col min="1541" max="1541" width="0.77734375" style="206" customWidth="1"/>
    <col min="1542" max="1555" width="7.6640625" style="206" customWidth="1"/>
    <col min="1556" max="1789" width="9.109375" style="206"/>
    <col min="1790" max="1791" width="2.6640625" style="206" customWidth="1"/>
    <col min="1792" max="1794" width="12" style="206" customWidth="1"/>
    <col min="1795" max="1796" width="9.109375" style="206"/>
    <col min="1797" max="1797" width="0.77734375" style="206" customWidth="1"/>
    <col min="1798" max="1811" width="7.6640625" style="206" customWidth="1"/>
    <col min="1812" max="2045" width="9.109375" style="206"/>
    <col min="2046" max="2047" width="2.6640625" style="206" customWidth="1"/>
    <col min="2048" max="2050" width="12" style="206" customWidth="1"/>
    <col min="2051" max="2052" width="9.109375" style="206"/>
    <col min="2053" max="2053" width="0.77734375" style="206" customWidth="1"/>
    <col min="2054" max="2067" width="7.6640625" style="206" customWidth="1"/>
    <col min="2068" max="2301" width="9.109375" style="206"/>
    <col min="2302" max="2303" width="2.6640625" style="206" customWidth="1"/>
    <col min="2304" max="2306" width="12" style="206" customWidth="1"/>
    <col min="2307" max="2308" width="9.109375" style="206"/>
    <col min="2309" max="2309" width="0.77734375" style="206" customWidth="1"/>
    <col min="2310" max="2323" width="7.6640625" style="206" customWidth="1"/>
    <col min="2324" max="2557" width="9.109375" style="206"/>
    <col min="2558" max="2559" width="2.6640625" style="206" customWidth="1"/>
    <col min="2560" max="2562" width="12" style="206" customWidth="1"/>
    <col min="2563" max="2564" width="9.109375" style="206"/>
    <col min="2565" max="2565" width="0.77734375" style="206" customWidth="1"/>
    <col min="2566" max="2579" width="7.6640625" style="206" customWidth="1"/>
    <col min="2580" max="2813" width="9.109375" style="206"/>
    <col min="2814" max="2815" width="2.6640625" style="206" customWidth="1"/>
    <col min="2816" max="2818" width="12" style="206" customWidth="1"/>
    <col min="2819" max="2820" width="9.109375" style="206"/>
    <col min="2821" max="2821" width="0.77734375" style="206" customWidth="1"/>
    <col min="2822" max="2835" width="7.6640625" style="206" customWidth="1"/>
    <col min="2836" max="3069" width="9.109375" style="206"/>
    <col min="3070" max="3071" width="2.6640625" style="206" customWidth="1"/>
    <col min="3072" max="3074" width="12" style="206" customWidth="1"/>
    <col min="3075" max="3076" width="9.109375" style="206"/>
    <col min="3077" max="3077" width="0.77734375" style="206" customWidth="1"/>
    <col min="3078" max="3091" width="7.6640625" style="206" customWidth="1"/>
    <col min="3092" max="3325" width="9.109375" style="206"/>
    <col min="3326" max="3327" width="2.6640625" style="206" customWidth="1"/>
    <col min="3328" max="3330" width="12" style="206" customWidth="1"/>
    <col min="3331" max="3332" width="9.109375" style="206"/>
    <col min="3333" max="3333" width="0.77734375" style="206" customWidth="1"/>
    <col min="3334" max="3347" width="7.6640625" style="206" customWidth="1"/>
    <col min="3348" max="3581" width="9.109375" style="206"/>
    <col min="3582" max="3583" width="2.6640625" style="206" customWidth="1"/>
    <col min="3584" max="3586" width="12" style="206" customWidth="1"/>
    <col min="3587" max="3588" width="9.109375" style="206"/>
    <col min="3589" max="3589" width="0.77734375" style="206" customWidth="1"/>
    <col min="3590" max="3603" width="7.6640625" style="206" customWidth="1"/>
    <col min="3604" max="3837" width="9.109375" style="206"/>
    <col min="3838" max="3839" width="2.6640625" style="206" customWidth="1"/>
    <col min="3840" max="3842" width="12" style="206" customWidth="1"/>
    <col min="3843" max="3844" width="9.109375" style="206"/>
    <col min="3845" max="3845" width="0.77734375" style="206" customWidth="1"/>
    <col min="3846" max="3859" width="7.6640625" style="206" customWidth="1"/>
    <col min="3860" max="4093" width="9.109375" style="206"/>
    <col min="4094" max="4095" width="2.6640625" style="206" customWidth="1"/>
    <col min="4096" max="4098" width="12" style="206" customWidth="1"/>
    <col min="4099" max="4100" width="9.109375" style="206"/>
    <col min="4101" max="4101" width="0.77734375" style="206" customWidth="1"/>
    <col min="4102" max="4115" width="7.6640625" style="206" customWidth="1"/>
    <col min="4116" max="4349" width="9.109375" style="206"/>
    <col min="4350" max="4351" width="2.6640625" style="206" customWidth="1"/>
    <col min="4352" max="4354" width="12" style="206" customWidth="1"/>
    <col min="4355" max="4356" width="9.109375" style="206"/>
    <col min="4357" max="4357" width="0.77734375" style="206" customWidth="1"/>
    <col min="4358" max="4371" width="7.6640625" style="206" customWidth="1"/>
    <col min="4372" max="4605" width="9.109375" style="206"/>
    <col min="4606" max="4607" width="2.6640625" style="206" customWidth="1"/>
    <col min="4608" max="4610" width="12" style="206" customWidth="1"/>
    <col min="4611" max="4612" width="9.109375" style="206"/>
    <col min="4613" max="4613" width="0.77734375" style="206" customWidth="1"/>
    <col min="4614" max="4627" width="7.6640625" style="206" customWidth="1"/>
    <col min="4628" max="4861" width="9.109375" style="206"/>
    <col min="4862" max="4863" width="2.6640625" style="206" customWidth="1"/>
    <col min="4864" max="4866" width="12" style="206" customWidth="1"/>
    <col min="4867" max="4868" width="9.109375" style="206"/>
    <col min="4869" max="4869" width="0.77734375" style="206" customWidth="1"/>
    <col min="4870" max="4883" width="7.6640625" style="206" customWidth="1"/>
    <col min="4884" max="5117" width="9.109375" style="206"/>
    <col min="5118" max="5119" width="2.6640625" style="206" customWidth="1"/>
    <col min="5120" max="5122" width="12" style="206" customWidth="1"/>
    <col min="5123" max="5124" width="9.109375" style="206"/>
    <col min="5125" max="5125" width="0.77734375" style="206" customWidth="1"/>
    <col min="5126" max="5139" width="7.6640625" style="206" customWidth="1"/>
    <col min="5140" max="5373" width="9.109375" style="206"/>
    <col min="5374" max="5375" width="2.6640625" style="206" customWidth="1"/>
    <col min="5376" max="5378" width="12" style="206" customWidth="1"/>
    <col min="5379" max="5380" width="9.109375" style="206"/>
    <col min="5381" max="5381" width="0.77734375" style="206" customWidth="1"/>
    <col min="5382" max="5395" width="7.6640625" style="206" customWidth="1"/>
    <col min="5396" max="5629" width="9.109375" style="206"/>
    <col min="5630" max="5631" width="2.6640625" style="206" customWidth="1"/>
    <col min="5632" max="5634" width="12" style="206" customWidth="1"/>
    <col min="5635" max="5636" width="9.109375" style="206"/>
    <col min="5637" max="5637" width="0.77734375" style="206" customWidth="1"/>
    <col min="5638" max="5651" width="7.6640625" style="206" customWidth="1"/>
    <col min="5652" max="5885" width="9.109375" style="206"/>
    <col min="5886" max="5887" width="2.6640625" style="206" customWidth="1"/>
    <col min="5888" max="5890" width="12" style="206" customWidth="1"/>
    <col min="5891" max="5892" width="9.109375" style="206"/>
    <col min="5893" max="5893" width="0.77734375" style="206" customWidth="1"/>
    <col min="5894" max="5907" width="7.6640625" style="206" customWidth="1"/>
    <col min="5908" max="6141" width="9.109375" style="206"/>
    <col min="6142" max="6143" width="2.6640625" style="206" customWidth="1"/>
    <col min="6144" max="6146" width="12" style="206" customWidth="1"/>
    <col min="6147" max="6148" width="9.109375" style="206"/>
    <col min="6149" max="6149" width="0.77734375" style="206" customWidth="1"/>
    <col min="6150" max="6163" width="7.6640625" style="206" customWidth="1"/>
    <col min="6164" max="6397" width="9.109375" style="206"/>
    <col min="6398" max="6399" width="2.6640625" style="206" customWidth="1"/>
    <col min="6400" max="6402" width="12" style="206" customWidth="1"/>
    <col min="6403" max="6404" width="9.109375" style="206"/>
    <col min="6405" max="6405" width="0.77734375" style="206" customWidth="1"/>
    <col min="6406" max="6419" width="7.6640625" style="206" customWidth="1"/>
    <col min="6420" max="6653" width="9.109375" style="206"/>
    <col min="6654" max="6655" width="2.6640625" style="206" customWidth="1"/>
    <col min="6656" max="6658" width="12" style="206" customWidth="1"/>
    <col min="6659" max="6660" width="9.109375" style="206"/>
    <col min="6661" max="6661" width="0.77734375" style="206" customWidth="1"/>
    <col min="6662" max="6675" width="7.6640625" style="206" customWidth="1"/>
    <col min="6676" max="6909" width="9.109375" style="206"/>
    <col min="6910" max="6911" width="2.6640625" style="206" customWidth="1"/>
    <col min="6912" max="6914" width="12" style="206" customWidth="1"/>
    <col min="6915" max="6916" width="9.109375" style="206"/>
    <col min="6917" max="6917" width="0.77734375" style="206" customWidth="1"/>
    <col min="6918" max="6931" width="7.6640625" style="206" customWidth="1"/>
    <col min="6932" max="7165" width="9.109375" style="206"/>
    <col min="7166" max="7167" width="2.6640625" style="206" customWidth="1"/>
    <col min="7168" max="7170" width="12" style="206" customWidth="1"/>
    <col min="7171" max="7172" width="9.109375" style="206"/>
    <col min="7173" max="7173" width="0.77734375" style="206" customWidth="1"/>
    <col min="7174" max="7187" width="7.6640625" style="206" customWidth="1"/>
    <col min="7188" max="7421" width="9.109375" style="206"/>
    <col min="7422" max="7423" width="2.6640625" style="206" customWidth="1"/>
    <col min="7424" max="7426" width="12" style="206" customWidth="1"/>
    <col min="7427" max="7428" width="9.109375" style="206"/>
    <col min="7429" max="7429" width="0.77734375" style="206" customWidth="1"/>
    <col min="7430" max="7443" width="7.6640625" style="206" customWidth="1"/>
    <col min="7444" max="7677" width="9.109375" style="206"/>
    <col min="7678" max="7679" width="2.6640625" style="206" customWidth="1"/>
    <col min="7680" max="7682" width="12" style="206" customWidth="1"/>
    <col min="7683" max="7684" width="9.109375" style="206"/>
    <col min="7685" max="7685" width="0.77734375" style="206" customWidth="1"/>
    <col min="7686" max="7699" width="7.6640625" style="206" customWidth="1"/>
    <col min="7700" max="7933" width="9.109375" style="206"/>
    <col min="7934" max="7935" width="2.6640625" style="206" customWidth="1"/>
    <col min="7936" max="7938" width="12" style="206" customWidth="1"/>
    <col min="7939" max="7940" width="9.109375" style="206"/>
    <col min="7941" max="7941" width="0.77734375" style="206" customWidth="1"/>
    <col min="7942" max="7955" width="7.6640625" style="206" customWidth="1"/>
    <col min="7956" max="8189" width="9.109375" style="206"/>
    <col min="8190" max="8191" width="2.6640625" style="206" customWidth="1"/>
    <col min="8192" max="8194" width="12" style="206" customWidth="1"/>
    <col min="8195" max="8196" width="9.109375" style="206"/>
    <col min="8197" max="8197" width="0.77734375" style="206" customWidth="1"/>
    <col min="8198" max="8211" width="7.6640625" style="206" customWidth="1"/>
    <col min="8212" max="8445" width="9.109375" style="206"/>
    <col min="8446" max="8447" width="2.6640625" style="206" customWidth="1"/>
    <col min="8448" max="8450" width="12" style="206" customWidth="1"/>
    <col min="8451" max="8452" width="9.109375" style="206"/>
    <col min="8453" max="8453" width="0.77734375" style="206" customWidth="1"/>
    <col min="8454" max="8467" width="7.6640625" style="206" customWidth="1"/>
    <col min="8468" max="8701" width="9.109375" style="206"/>
    <col min="8702" max="8703" width="2.6640625" style="206" customWidth="1"/>
    <col min="8704" max="8706" width="12" style="206" customWidth="1"/>
    <col min="8707" max="8708" width="9.109375" style="206"/>
    <col min="8709" max="8709" width="0.77734375" style="206" customWidth="1"/>
    <col min="8710" max="8723" width="7.6640625" style="206" customWidth="1"/>
    <col min="8724" max="8957" width="9.109375" style="206"/>
    <col min="8958" max="8959" width="2.6640625" style="206" customWidth="1"/>
    <col min="8960" max="8962" width="12" style="206" customWidth="1"/>
    <col min="8963" max="8964" width="9.109375" style="206"/>
    <col min="8965" max="8965" width="0.77734375" style="206" customWidth="1"/>
    <col min="8966" max="8979" width="7.6640625" style="206" customWidth="1"/>
    <col min="8980" max="9213" width="9.109375" style="206"/>
    <col min="9214" max="9215" width="2.6640625" style="206" customWidth="1"/>
    <col min="9216" max="9218" width="12" style="206" customWidth="1"/>
    <col min="9219" max="9220" width="9.109375" style="206"/>
    <col min="9221" max="9221" width="0.77734375" style="206" customWidth="1"/>
    <col min="9222" max="9235" width="7.6640625" style="206" customWidth="1"/>
    <col min="9236" max="9469" width="9.109375" style="206"/>
    <col min="9470" max="9471" width="2.6640625" style="206" customWidth="1"/>
    <col min="9472" max="9474" width="12" style="206" customWidth="1"/>
    <col min="9475" max="9476" width="9.109375" style="206"/>
    <col min="9477" max="9477" width="0.77734375" style="206" customWidth="1"/>
    <col min="9478" max="9491" width="7.6640625" style="206" customWidth="1"/>
    <col min="9492" max="9725" width="9.109375" style="206"/>
    <col min="9726" max="9727" width="2.6640625" style="206" customWidth="1"/>
    <col min="9728" max="9730" width="12" style="206" customWidth="1"/>
    <col min="9731" max="9732" width="9.109375" style="206"/>
    <col min="9733" max="9733" width="0.77734375" style="206" customWidth="1"/>
    <col min="9734" max="9747" width="7.6640625" style="206" customWidth="1"/>
    <col min="9748" max="9981" width="9.109375" style="206"/>
    <col min="9982" max="9983" width="2.6640625" style="206" customWidth="1"/>
    <col min="9984" max="9986" width="12" style="206" customWidth="1"/>
    <col min="9987" max="9988" width="9.109375" style="206"/>
    <col min="9989" max="9989" width="0.77734375" style="206" customWidth="1"/>
    <col min="9990" max="10003" width="7.6640625" style="206" customWidth="1"/>
    <col min="10004" max="10237" width="9.109375" style="206"/>
    <col min="10238" max="10239" width="2.6640625" style="206" customWidth="1"/>
    <col min="10240" max="10242" width="12" style="206" customWidth="1"/>
    <col min="10243" max="10244" width="9.109375" style="206"/>
    <col min="10245" max="10245" width="0.77734375" style="206" customWidth="1"/>
    <col min="10246" max="10259" width="7.6640625" style="206" customWidth="1"/>
    <col min="10260" max="10493" width="9.109375" style="206"/>
    <col min="10494" max="10495" width="2.6640625" style="206" customWidth="1"/>
    <col min="10496" max="10498" width="12" style="206" customWidth="1"/>
    <col min="10499" max="10500" width="9.109375" style="206"/>
    <col min="10501" max="10501" width="0.77734375" style="206" customWidth="1"/>
    <col min="10502" max="10515" width="7.6640625" style="206" customWidth="1"/>
    <col min="10516" max="10749" width="9.109375" style="206"/>
    <col min="10750" max="10751" width="2.6640625" style="206" customWidth="1"/>
    <col min="10752" max="10754" width="12" style="206" customWidth="1"/>
    <col min="10755" max="10756" width="9.109375" style="206"/>
    <col min="10757" max="10757" width="0.77734375" style="206" customWidth="1"/>
    <col min="10758" max="10771" width="7.6640625" style="206" customWidth="1"/>
    <col min="10772" max="11005" width="9.109375" style="206"/>
    <col min="11006" max="11007" width="2.6640625" style="206" customWidth="1"/>
    <col min="11008" max="11010" width="12" style="206" customWidth="1"/>
    <col min="11011" max="11012" width="9.109375" style="206"/>
    <col min="11013" max="11013" width="0.77734375" style="206" customWidth="1"/>
    <col min="11014" max="11027" width="7.6640625" style="206" customWidth="1"/>
    <col min="11028" max="11261" width="9.109375" style="206"/>
    <col min="11262" max="11263" width="2.6640625" style="206" customWidth="1"/>
    <col min="11264" max="11266" width="12" style="206" customWidth="1"/>
    <col min="11267" max="11268" width="9.109375" style="206"/>
    <col min="11269" max="11269" width="0.77734375" style="206" customWidth="1"/>
    <col min="11270" max="11283" width="7.6640625" style="206" customWidth="1"/>
    <col min="11284" max="11517" width="9.109375" style="206"/>
    <col min="11518" max="11519" width="2.6640625" style="206" customWidth="1"/>
    <col min="11520" max="11522" width="12" style="206" customWidth="1"/>
    <col min="11523" max="11524" width="9.109375" style="206"/>
    <col min="11525" max="11525" width="0.77734375" style="206" customWidth="1"/>
    <col min="11526" max="11539" width="7.6640625" style="206" customWidth="1"/>
    <col min="11540" max="11773" width="9.109375" style="206"/>
    <col min="11774" max="11775" width="2.6640625" style="206" customWidth="1"/>
    <col min="11776" max="11778" width="12" style="206" customWidth="1"/>
    <col min="11779" max="11780" width="9.109375" style="206"/>
    <col min="11781" max="11781" width="0.77734375" style="206" customWidth="1"/>
    <col min="11782" max="11795" width="7.6640625" style="206" customWidth="1"/>
    <col min="11796" max="12029" width="9.109375" style="206"/>
    <col min="12030" max="12031" width="2.6640625" style="206" customWidth="1"/>
    <col min="12032" max="12034" width="12" style="206" customWidth="1"/>
    <col min="12035" max="12036" width="9.109375" style="206"/>
    <col min="12037" max="12037" width="0.77734375" style="206" customWidth="1"/>
    <col min="12038" max="12051" width="7.6640625" style="206" customWidth="1"/>
    <col min="12052" max="12285" width="9.109375" style="206"/>
    <col min="12286" max="12287" width="2.6640625" style="206" customWidth="1"/>
    <col min="12288" max="12290" width="12" style="206" customWidth="1"/>
    <col min="12291" max="12292" width="9.109375" style="206"/>
    <col min="12293" max="12293" width="0.77734375" style="206" customWidth="1"/>
    <col min="12294" max="12307" width="7.6640625" style="206" customWidth="1"/>
    <col min="12308" max="12541" width="9.109375" style="206"/>
    <col min="12542" max="12543" width="2.6640625" style="206" customWidth="1"/>
    <col min="12544" max="12546" width="12" style="206" customWidth="1"/>
    <col min="12547" max="12548" width="9.109375" style="206"/>
    <col min="12549" max="12549" width="0.77734375" style="206" customWidth="1"/>
    <col min="12550" max="12563" width="7.6640625" style="206" customWidth="1"/>
    <col min="12564" max="12797" width="9.109375" style="206"/>
    <col min="12798" max="12799" width="2.6640625" style="206" customWidth="1"/>
    <col min="12800" max="12802" width="12" style="206" customWidth="1"/>
    <col min="12803" max="12804" width="9.109375" style="206"/>
    <col min="12805" max="12805" width="0.77734375" style="206" customWidth="1"/>
    <col min="12806" max="12819" width="7.6640625" style="206" customWidth="1"/>
    <col min="12820" max="13053" width="9.109375" style="206"/>
    <col min="13054" max="13055" width="2.6640625" style="206" customWidth="1"/>
    <col min="13056" max="13058" width="12" style="206" customWidth="1"/>
    <col min="13059" max="13060" width="9.109375" style="206"/>
    <col min="13061" max="13061" width="0.77734375" style="206" customWidth="1"/>
    <col min="13062" max="13075" width="7.6640625" style="206" customWidth="1"/>
    <col min="13076" max="13309" width="9.109375" style="206"/>
    <col min="13310" max="13311" width="2.6640625" style="206" customWidth="1"/>
    <col min="13312" max="13314" width="12" style="206" customWidth="1"/>
    <col min="13315" max="13316" width="9.109375" style="206"/>
    <col min="13317" max="13317" width="0.77734375" style="206" customWidth="1"/>
    <col min="13318" max="13331" width="7.6640625" style="206" customWidth="1"/>
    <col min="13332" max="13565" width="9.109375" style="206"/>
    <col min="13566" max="13567" width="2.6640625" style="206" customWidth="1"/>
    <col min="13568" max="13570" width="12" style="206" customWidth="1"/>
    <col min="13571" max="13572" width="9.109375" style="206"/>
    <col min="13573" max="13573" width="0.77734375" style="206" customWidth="1"/>
    <col min="13574" max="13587" width="7.6640625" style="206" customWidth="1"/>
    <col min="13588" max="13821" width="9.109375" style="206"/>
    <col min="13822" max="13823" width="2.6640625" style="206" customWidth="1"/>
    <col min="13824" max="13826" width="12" style="206" customWidth="1"/>
    <col min="13827" max="13828" width="9.109375" style="206"/>
    <col min="13829" max="13829" width="0.77734375" style="206" customWidth="1"/>
    <col min="13830" max="13843" width="7.6640625" style="206" customWidth="1"/>
    <col min="13844" max="14077" width="9.109375" style="206"/>
    <col min="14078" max="14079" width="2.6640625" style="206" customWidth="1"/>
    <col min="14080" max="14082" width="12" style="206" customWidth="1"/>
    <col min="14083" max="14084" width="9.109375" style="206"/>
    <col min="14085" max="14085" width="0.77734375" style="206" customWidth="1"/>
    <col min="14086" max="14099" width="7.6640625" style="206" customWidth="1"/>
    <col min="14100" max="14333" width="9.109375" style="206"/>
    <col min="14334" max="14335" width="2.6640625" style="206" customWidth="1"/>
    <col min="14336" max="14338" width="12" style="206" customWidth="1"/>
    <col min="14339" max="14340" width="9.109375" style="206"/>
    <col min="14341" max="14341" width="0.77734375" style="206" customWidth="1"/>
    <col min="14342" max="14355" width="7.6640625" style="206" customWidth="1"/>
    <col min="14356" max="14589" width="9.109375" style="206"/>
    <col min="14590" max="14591" width="2.6640625" style="206" customWidth="1"/>
    <col min="14592" max="14594" width="12" style="206" customWidth="1"/>
    <col min="14595" max="14596" width="9.109375" style="206"/>
    <col min="14597" max="14597" width="0.77734375" style="206" customWidth="1"/>
    <col min="14598" max="14611" width="7.6640625" style="206" customWidth="1"/>
    <col min="14612" max="14845" width="9.109375" style="206"/>
    <col min="14846" max="14847" width="2.6640625" style="206" customWidth="1"/>
    <col min="14848" max="14850" width="12" style="206" customWidth="1"/>
    <col min="14851" max="14852" width="9.109375" style="206"/>
    <col min="14853" max="14853" width="0.77734375" style="206" customWidth="1"/>
    <col min="14854" max="14867" width="7.6640625" style="206" customWidth="1"/>
    <col min="14868" max="15101" width="9.109375" style="206"/>
    <col min="15102" max="15103" width="2.6640625" style="206" customWidth="1"/>
    <col min="15104" max="15106" width="12" style="206" customWidth="1"/>
    <col min="15107" max="15108" width="9.109375" style="206"/>
    <col min="15109" max="15109" width="0.77734375" style="206" customWidth="1"/>
    <col min="15110" max="15123" width="7.6640625" style="206" customWidth="1"/>
    <col min="15124" max="15357" width="9.109375" style="206"/>
    <col min="15358" max="15359" width="2.6640625" style="206" customWidth="1"/>
    <col min="15360" max="15362" width="12" style="206" customWidth="1"/>
    <col min="15363" max="15364" width="9.109375" style="206"/>
    <col min="15365" max="15365" width="0.77734375" style="206" customWidth="1"/>
    <col min="15366" max="15379" width="7.6640625" style="206" customWidth="1"/>
    <col min="15380" max="15613" width="9.109375" style="206"/>
    <col min="15614" max="15615" width="2.6640625" style="206" customWidth="1"/>
    <col min="15616" max="15618" width="12" style="206" customWidth="1"/>
    <col min="15619" max="15620" width="9.109375" style="206"/>
    <col min="15621" max="15621" width="0.77734375" style="206" customWidth="1"/>
    <col min="15622" max="15635" width="7.6640625" style="206" customWidth="1"/>
    <col min="15636" max="15869" width="9.109375" style="206"/>
    <col min="15870" max="15871" width="2.6640625" style="206" customWidth="1"/>
    <col min="15872" max="15874" width="12" style="206" customWidth="1"/>
    <col min="15875" max="15876" width="9.109375" style="206"/>
    <col min="15877" max="15877" width="0.77734375" style="206" customWidth="1"/>
    <col min="15878" max="15891" width="7.6640625" style="206" customWidth="1"/>
    <col min="15892" max="16125" width="9.109375" style="206"/>
    <col min="16126" max="16127" width="2.6640625" style="206" customWidth="1"/>
    <col min="16128" max="16130" width="12" style="206" customWidth="1"/>
    <col min="16131" max="16132" width="9.109375" style="206"/>
    <col min="16133" max="16133" width="0.77734375" style="206" customWidth="1"/>
    <col min="16134" max="16147" width="7.6640625" style="206" customWidth="1"/>
    <col min="16148" max="16384" width="9.109375" style="206"/>
  </cols>
  <sheetData>
    <row r="1" spans="1:21" ht="13.8" thickBot="1">
      <c r="A1" s="205" t="s">
        <v>80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</row>
    <row r="2" spans="1:21" ht="13.8" thickTop="1">
      <c r="A2" s="207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</row>
    <row r="3" spans="1:21">
      <c r="A3" s="194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</row>
    <row r="4" spans="1:21" ht="16.05" customHeight="1">
      <c r="A4" s="20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126"/>
      <c r="P4" s="126"/>
      <c r="Q4" s="126"/>
      <c r="R4" s="126"/>
      <c r="S4" s="126"/>
      <c r="T4" s="126"/>
      <c r="U4" s="126"/>
    </row>
    <row r="5" spans="1:21" ht="16.05" customHeight="1">
      <c r="A5" s="208"/>
      <c r="B5" s="201"/>
      <c r="C5" s="209" t="s">
        <v>81</v>
      </c>
      <c r="D5" s="209"/>
      <c r="E5" s="209"/>
      <c r="F5" s="209"/>
      <c r="G5" s="209"/>
      <c r="H5" s="209"/>
      <c r="I5" s="209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126"/>
    </row>
    <row r="6" spans="1:21" ht="12" customHeight="1">
      <c r="A6" s="208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126"/>
    </row>
    <row r="7" spans="1:21" ht="20.25" customHeight="1">
      <c r="A7" s="208"/>
      <c r="B7" s="201"/>
      <c r="C7" s="210" t="s">
        <v>82</v>
      </c>
      <c r="D7" s="211"/>
      <c r="E7" s="211"/>
      <c r="F7" s="211"/>
      <c r="G7" s="211"/>
      <c r="H7" s="211"/>
      <c r="I7" s="212">
        <v>0</v>
      </c>
      <c r="J7" s="212">
        <f t="shared" ref="J7" si="0">+I7+1</f>
        <v>1</v>
      </c>
      <c r="K7" s="212">
        <f t="shared" ref="K7" si="1">+J7+1</f>
        <v>2</v>
      </c>
      <c r="L7" s="212">
        <f t="shared" ref="L7" si="2">+K7+1</f>
        <v>3</v>
      </c>
      <c r="M7" s="212">
        <f t="shared" ref="M7" si="3">+L7+1</f>
        <v>4</v>
      </c>
      <c r="N7" s="212">
        <f t="shared" ref="N7" si="4">+M7+1</f>
        <v>5</v>
      </c>
      <c r="O7" s="212">
        <f t="shared" ref="O7" si="5">+N7+1</f>
        <v>6</v>
      </c>
      <c r="P7" s="212">
        <f t="shared" ref="P7" si="6">+O7+1</f>
        <v>7</v>
      </c>
      <c r="Q7" s="212">
        <f t="shared" ref="Q7" si="7">+P7+1</f>
        <v>8</v>
      </c>
      <c r="R7" s="212">
        <f t="shared" ref="R7" si="8">+Q7+1</f>
        <v>9</v>
      </c>
      <c r="S7" s="212">
        <f t="shared" ref="S7" si="9">+R7+1</f>
        <v>10</v>
      </c>
      <c r="T7" s="212" t="s">
        <v>83</v>
      </c>
      <c r="U7" s="126"/>
    </row>
    <row r="8" spans="1:21" ht="20.25" customHeight="1">
      <c r="A8" s="208"/>
      <c r="B8" s="201"/>
      <c r="C8" s="213" t="s">
        <v>145</v>
      </c>
      <c r="D8" s="214"/>
      <c r="E8" s="215"/>
      <c r="F8" s="215"/>
      <c r="G8" s="215"/>
      <c r="H8" s="215"/>
      <c r="I8" s="349">
        <f>+'DCF input'!I22</f>
        <v>43921</v>
      </c>
      <c r="J8" s="349">
        <f>+'DCF input'!J22</f>
        <v>44286</v>
      </c>
      <c r="K8" s="349">
        <f>+'DCF input'!K22</f>
        <v>44651</v>
      </c>
      <c r="L8" s="349">
        <f>+'DCF input'!L22</f>
        <v>45016</v>
      </c>
      <c r="M8" s="349">
        <f>+'DCF input'!M22</f>
        <v>45382</v>
      </c>
      <c r="N8" s="349">
        <f>+'DCF input'!N22</f>
        <v>45747</v>
      </c>
      <c r="O8" s="349">
        <f>+'DCF input'!O22</f>
        <v>46112</v>
      </c>
      <c r="P8" s="349">
        <f>+'DCF input'!P22</f>
        <v>46477</v>
      </c>
      <c r="Q8" s="349">
        <f>+'DCF input'!Q22</f>
        <v>46843</v>
      </c>
      <c r="R8" s="349">
        <f>+'DCF input'!R22</f>
        <v>47208</v>
      </c>
      <c r="S8" s="349">
        <f>+'DCF input'!S22</f>
        <v>47573</v>
      </c>
      <c r="T8" s="215"/>
      <c r="U8" s="126"/>
    </row>
    <row r="9" spans="1:21" ht="20.25" customHeight="1">
      <c r="A9" s="208"/>
      <c r="B9" s="201"/>
      <c r="C9" s="216" t="s">
        <v>2</v>
      </c>
      <c r="D9" s="216"/>
      <c r="E9" s="217"/>
      <c r="F9" s="217"/>
      <c r="G9" s="217"/>
      <c r="H9" s="217"/>
      <c r="I9" s="269">
        <f>'DCF input'!I24</f>
        <v>0</v>
      </c>
      <c r="J9" s="269">
        <f>'DCF input'!J24</f>
        <v>27</v>
      </c>
      <c r="K9" s="269">
        <f>'DCF input'!K24</f>
        <v>50</v>
      </c>
      <c r="L9" s="269">
        <f>'DCF input'!L24</f>
        <v>89</v>
      </c>
      <c r="M9" s="269">
        <f>'DCF input'!M24</f>
        <v>55</v>
      </c>
      <c r="N9" s="269">
        <f>'DCF input'!N24</f>
        <v>0</v>
      </c>
      <c r="O9" s="269">
        <f>'DCF input'!O24</f>
        <v>0</v>
      </c>
      <c r="P9" s="269">
        <f>'DCF input'!P24</f>
        <v>0</v>
      </c>
      <c r="Q9" s="269">
        <f>'DCF input'!Q24</f>
        <v>0</v>
      </c>
      <c r="R9" s="269">
        <f>'DCF input'!R24</f>
        <v>0</v>
      </c>
      <c r="S9" s="269">
        <f>'DCF input'!S24</f>
        <v>0</v>
      </c>
      <c r="T9" s="270"/>
      <c r="U9" s="126"/>
    </row>
    <row r="10" spans="1:21" ht="20.25" customHeight="1">
      <c r="A10" s="208"/>
      <c r="B10" s="201"/>
      <c r="C10" s="218" t="s">
        <v>0</v>
      </c>
      <c r="D10" s="218"/>
      <c r="E10" s="219"/>
      <c r="F10" s="220"/>
      <c r="G10" s="220"/>
      <c r="H10" s="220"/>
      <c r="I10" s="271"/>
      <c r="J10" s="271" t="e">
        <f t="shared" ref="J10:S10" si="10">J9/I9-1</f>
        <v>#DIV/0!</v>
      </c>
      <c r="K10" s="271">
        <f t="shared" si="10"/>
        <v>0.85185185185185186</v>
      </c>
      <c r="L10" s="271">
        <f t="shared" si="10"/>
        <v>0.78</v>
      </c>
      <c r="M10" s="271">
        <f t="shared" si="10"/>
        <v>-0.3820224719101124</v>
      </c>
      <c r="N10" s="271">
        <f t="shared" si="10"/>
        <v>-1</v>
      </c>
      <c r="O10" s="271" t="e">
        <f t="shared" si="10"/>
        <v>#DIV/0!</v>
      </c>
      <c r="P10" s="271" t="e">
        <f t="shared" si="10"/>
        <v>#DIV/0!</v>
      </c>
      <c r="Q10" s="271" t="e">
        <f t="shared" si="10"/>
        <v>#DIV/0!</v>
      </c>
      <c r="R10" s="271" t="e">
        <f t="shared" si="10"/>
        <v>#DIV/0!</v>
      </c>
      <c r="S10" s="271" t="e">
        <f t="shared" si="10"/>
        <v>#DIV/0!</v>
      </c>
      <c r="T10" s="272"/>
      <c r="U10" s="126"/>
    </row>
    <row r="11" spans="1:21" ht="20.25" customHeight="1">
      <c r="A11" s="208"/>
      <c r="B11" s="201"/>
      <c r="C11" s="216" t="s">
        <v>3</v>
      </c>
      <c r="D11" s="216"/>
      <c r="E11" s="217"/>
      <c r="F11" s="217"/>
      <c r="G11" s="217"/>
      <c r="H11" s="217"/>
      <c r="I11" s="269">
        <f>'DCF input'!I27</f>
        <v>0</v>
      </c>
      <c r="J11" s="269">
        <f>'DCF input'!J27</f>
        <v>0</v>
      </c>
      <c r="K11" s="269">
        <f>'DCF input'!K27</f>
        <v>0</v>
      </c>
      <c r="L11" s="269">
        <f>'DCF input'!L27</f>
        <v>0</v>
      </c>
      <c r="M11" s="269">
        <f>'DCF input'!M27</f>
        <v>0</v>
      </c>
      <c r="N11" s="269">
        <f>'DCF input'!N27</f>
        <v>0</v>
      </c>
      <c r="O11" s="269">
        <f>'DCF input'!O27</f>
        <v>0</v>
      </c>
      <c r="P11" s="269">
        <f>'DCF input'!P27</f>
        <v>0</v>
      </c>
      <c r="Q11" s="269">
        <f>'DCF input'!Q27</f>
        <v>0</v>
      </c>
      <c r="R11" s="269">
        <f>'DCF input'!R27</f>
        <v>0</v>
      </c>
      <c r="S11" s="269">
        <f>'DCF input'!S27</f>
        <v>0</v>
      </c>
      <c r="T11" s="270"/>
      <c r="U11" s="126"/>
    </row>
    <row r="12" spans="1:21" ht="20.25" customHeight="1">
      <c r="A12" s="208"/>
      <c r="B12" s="201"/>
      <c r="C12" s="218" t="s">
        <v>1</v>
      </c>
      <c r="D12" s="218"/>
      <c r="E12" s="221"/>
      <c r="F12" s="221"/>
      <c r="G12" s="221"/>
      <c r="H12" s="221"/>
      <c r="I12" s="271" t="e">
        <f t="shared" ref="I12:S12" si="11">I11/I9</f>
        <v>#DIV/0!</v>
      </c>
      <c r="J12" s="271">
        <f t="shared" si="11"/>
        <v>0</v>
      </c>
      <c r="K12" s="271">
        <f t="shared" si="11"/>
        <v>0</v>
      </c>
      <c r="L12" s="271">
        <f t="shared" si="11"/>
        <v>0</v>
      </c>
      <c r="M12" s="271">
        <f t="shared" si="11"/>
        <v>0</v>
      </c>
      <c r="N12" s="271" t="e">
        <f t="shared" si="11"/>
        <v>#DIV/0!</v>
      </c>
      <c r="O12" s="271" t="e">
        <f t="shared" si="11"/>
        <v>#DIV/0!</v>
      </c>
      <c r="P12" s="271" t="e">
        <f t="shared" si="11"/>
        <v>#DIV/0!</v>
      </c>
      <c r="Q12" s="271" t="e">
        <f t="shared" si="11"/>
        <v>#DIV/0!</v>
      </c>
      <c r="R12" s="271" t="e">
        <f t="shared" si="11"/>
        <v>#DIV/0!</v>
      </c>
      <c r="S12" s="271" t="e">
        <f t="shared" si="11"/>
        <v>#DIV/0!</v>
      </c>
      <c r="T12" s="272"/>
      <c r="U12" s="126"/>
    </row>
    <row r="13" spans="1:21" ht="20.25" customHeight="1">
      <c r="A13" s="208"/>
      <c r="B13" s="201"/>
      <c r="C13" s="218" t="s">
        <v>0</v>
      </c>
      <c r="D13" s="218"/>
      <c r="E13" s="219"/>
      <c r="F13" s="221"/>
      <c r="G13" s="221"/>
      <c r="H13" s="221"/>
      <c r="I13" s="271"/>
      <c r="J13" s="271" t="e">
        <f t="shared" ref="J13:S13" si="12">J11/I11-1</f>
        <v>#DIV/0!</v>
      </c>
      <c r="K13" s="271" t="e">
        <f t="shared" si="12"/>
        <v>#DIV/0!</v>
      </c>
      <c r="L13" s="271" t="e">
        <f t="shared" si="12"/>
        <v>#DIV/0!</v>
      </c>
      <c r="M13" s="271" t="e">
        <f t="shared" si="12"/>
        <v>#DIV/0!</v>
      </c>
      <c r="N13" s="271" t="e">
        <f t="shared" si="12"/>
        <v>#DIV/0!</v>
      </c>
      <c r="O13" s="271" t="e">
        <f t="shared" si="12"/>
        <v>#DIV/0!</v>
      </c>
      <c r="P13" s="271" t="e">
        <f t="shared" si="12"/>
        <v>#DIV/0!</v>
      </c>
      <c r="Q13" s="271" t="e">
        <f t="shared" si="12"/>
        <v>#DIV/0!</v>
      </c>
      <c r="R13" s="271" t="e">
        <f t="shared" si="12"/>
        <v>#DIV/0!</v>
      </c>
      <c r="S13" s="271" t="e">
        <f t="shared" si="12"/>
        <v>#DIV/0!</v>
      </c>
      <c r="T13" s="272"/>
      <c r="U13" s="126"/>
    </row>
    <row r="14" spans="1:21" ht="20.25" customHeight="1">
      <c r="A14" s="208"/>
      <c r="B14" s="201"/>
      <c r="C14" s="222" t="s">
        <v>4</v>
      </c>
      <c r="D14" s="222"/>
      <c r="E14" s="223"/>
      <c r="F14" s="223"/>
      <c r="G14" s="223"/>
      <c r="H14" s="223"/>
      <c r="I14" s="273">
        <f>'DCF input'!I31</f>
        <v>0</v>
      </c>
      <c r="J14" s="273">
        <f>'DCF input'!J31</f>
        <v>0</v>
      </c>
      <c r="K14" s="273">
        <f>'DCF input'!K31</f>
        <v>0</v>
      </c>
      <c r="L14" s="273">
        <f>'DCF input'!L31</f>
        <v>0</v>
      </c>
      <c r="M14" s="273">
        <f>'DCF input'!M31</f>
        <v>0</v>
      </c>
      <c r="N14" s="273">
        <f>'DCF input'!N31</f>
        <v>0</v>
      </c>
      <c r="O14" s="273">
        <f>'DCF input'!O31</f>
        <v>0</v>
      </c>
      <c r="P14" s="273">
        <f>'DCF input'!P31</f>
        <v>0</v>
      </c>
      <c r="Q14" s="273">
        <f>'DCF input'!Q31</f>
        <v>0</v>
      </c>
      <c r="R14" s="273">
        <f>'DCF input'!R31</f>
        <v>0</v>
      </c>
      <c r="S14" s="273">
        <f>'DCF input'!S31</f>
        <v>0</v>
      </c>
      <c r="T14" s="274"/>
      <c r="U14" s="126"/>
    </row>
    <row r="15" spans="1:21" ht="20.25" customHeight="1">
      <c r="A15" s="208"/>
      <c r="B15" s="201"/>
      <c r="C15" s="218" t="s">
        <v>84</v>
      </c>
      <c r="D15" s="218"/>
      <c r="E15" s="221"/>
      <c r="F15" s="221"/>
      <c r="G15" s="221"/>
      <c r="H15" s="221"/>
      <c r="I15" s="271" t="e">
        <f t="shared" ref="I15:S15" si="13">-I14/I$9</f>
        <v>#DIV/0!</v>
      </c>
      <c r="J15" s="271">
        <f t="shared" si="13"/>
        <v>0</v>
      </c>
      <c r="K15" s="271">
        <f t="shared" si="13"/>
        <v>0</v>
      </c>
      <c r="L15" s="271">
        <f t="shared" si="13"/>
        <v>0</v>
      </c>
      <c r="M15" s="271">
        <f t="shared" si="13"/>
        <v>0</v>
      </c>
      <c r="N15" s="271" t="e">
        <f t="shared" si="13"/>
        <v>#DIV/0!</v>
      </c>
      <c r="O15" s="271" t="e">
        <f t="shared" si="13"/>
        <v>#DIV/0!</v>
      </c>
      <c r="P15" s="271" t="e">
        <f t="shared" si="13"/>
        <v>#DIV/0!</v>
      </c>
      <c r="Q15" s="271" t="e">
        <f t="shared" si="13"/>
        <v>#DIV/0!</v>
      </c>
      <c r="R15" s="271" t="e">
        <f t="shared" si="13"/>
        <v>#DIV/0!</v>
      </c>
      <c r="S15" s="271" t="e">
        <f t="shared" si="13"/>
        <v>#DIV/0!</v>
      </c>
      <c r="T15" s="272"/>
      <c r="U15" s="126"/>
    </row>
    <row r="16" spans="1:21" ht="20.25" customHeight="1">
      <c r="A16" s="208"/>
      <c r="B16" s="201"/>
      <c r="C16" s="218" t="s">
        <v>37</v>
      </c>
      <c r="D16" s="218"/>
      <c r="E16" s="221"/>
      <c r="F16" s="221"/>
      <c r="G16" s="221"/>
      <c r="H16" s="221"/>
      <c r="I16" s="271"/>
      <c r="J16" s="271" t="e">
        <f>+J14/J21</f>
        <v>#DIV/0!</v>
      </c>
      <c r="K16" s="271" t="e">
        <f>+K14/K21</f>
        <v>#DIV/0!</v>
      </c>
      <c r="L16" s="271" t="e">
        <f t="shared" ref="L16:S16" si="14">+L14/L21</f>
        <v>#DIV/0!</v>
      </c>
      <c r="M16" s="271" t="e">
        <f t="shared" si="14"/>
        <v>#DIV/0!</v>
      </c>
      <c r="N16" s="271" t="e">
        <f t="shared" si="14"/>
        <v>#DIV/0!</v>
      </c>
      <c r="O16" s="271" t="e">
        <f t="shared" si="14"/>
        <v>#DIV/0!</v>
      </c>
      <c r="P16" s="271" t="e">
        <f t="shared" si="14"/>
        <v>#DIV/0!</v>
      </c>
      <c r="Q16" s="271" t="e">
        <f t="shared" si="14"/>
        <v>#DIV/0!</v>
      </c>
      <c r="R16" s="271" t="e">
        <f t="shared" si="14"/>
        <v>#DIV/0!</v>
      </c>
      <c r="S16" s="271" t="e">
        <f t="shared" si="14"/>
        <v>#DIV/0!</v>
      </c>
      <c r="T16" s="272"/>
      <c r="U16" s="126"/>
    </row>
    <row r="17" spans="1:21" ht="20.25" customHeight="1">
      <c r="A17" s="208"/>
      <c r="B17" s="201"/>
      <c r="C17" s="222" t="s">
        <v>5</v>
      </c>
      <c r="D17" s="222"/>
      <c r="E17" s="223"/>
      <c r="F17" s="223"/>
      <c r="G17" s="223"/>
      <c r="H17" s="223"/>
      <c r="I17" s="273">
        <f t="shared" ref="I17:S17" si="15">I11+I14</f>
        <v>0</v>
      </c>
      <c r="J17" s="273">
        <f t="shared" si="15"/>
        <v>0</v>
      </c>
      <c r="K17" s="273">
        <f t="shared" si="15"/>
        <v>0</v>
      </c>
      <c r="L17" s="273">
        <f t="shared" si="15"/>
        <v>0</v>
      </c>
      <c r="M17" s="273">
        <f t="shared" si="15"/>
        <v>0</v>
      </c>
      <c r="N17" s="273">
        <f t="shared" si="15"/>
        <v>0</v>
      </c>
      <c r="O17" s="273">
        <f t="shared" si="15"/>
        <v>0</v>
      </c>
      <c r="P17" s="273">
        <f t="shared" si="15"/>
        <v>0</v>
      </c>
      <c r="Q17" s="273">
        <f t="shared" si="15"/>
        <v>0</v>
      </c>
      <c r="R17" s="273">
        <f t="shared" si="15"/>
        <v>0</v>
      </c>
      <c r="S17" s="273">
        <f t="shared" si="15"/>
        <v>0</v>
      </c>
      <c r="T17" s="274"/>
      <c r="U17" s="126"/>
    </row>
    <row r="18" spans="1:21" ht="20.25" customHeight="1">
      <c r="A18" s="208"/>
      <c r="B18" s="201"/>
      <c r="C18" s="218" t="s">
        <v>1</v>
      </c>
      <c r="D18" s="218"/>
      <c r="E18" s="221"/>
      <c r="F18" s="221"/>
      <c r="G18" s="221"/>
      <c r="H18" s="221"/>
      <c r="I18" s="271" t="e">
        <f t="shared" ref="I18:S18" si="16">I17/I$9</f>
        <v>#DIV/0!</v>
      </c>
      <c r="J18" s="271">
        <f t="shared" si="16"/>
        <v>0</v>
      </c>
      <c r="K18" s="271">
        <f t="shared" si="16"/>
        <v>0</v>
      </c>
      <c r="L18" s="271">
        <f t="shared" si="16"/>
        <v>0</v>
      </c>
      <c r="M18" s="271">
        <f t="shared" si="16"/>
        <v>0</v>
      </c>
      <c r="N18" s="271" t="e">
        <f t="shared" si="16"/>
        <v>#DIV/0!</v>
      </c>
      <c r="O18" s="271" t="e">
        <f t="shared" si="16"/>
        <v>#DIV/0!</v>
      </c>
      <c r="P18" s="271" t="e">
        <f t="shared" si="16"/>
        <v>#DIV/0!</v>
      </c>
      <c r="Q18" s="271" t="e">
        <f t="shared" si="16"/>
        <v>#DIV/0!</v>
      </c>
      <c r="R18" s="271" t="e">
        <f t="shared" si="16"/>
        <v>#DIV/0!</v>
      </c>
      <c r="S18" s="271" t="e">
        <f t="shared" si="16"/>
        <v>#DIV/0!</v>
      </c>
      <c r="T18" s="272"/>
      <c r="U18" s="126"/>
    </row>
    <row r="19" spans="1:21" ht="20.25" customHeight="1">
      <c r="A19" s="208"/>
      <c r="B19" s="201"/>
      <c r="C19" s="222" t="s">
        <v>85</v>
      </c>
      <c r="D19" s="222"/>
      <c r="E19" s="223"/>
      <c r="F19" s="223"/>
      <c r="G19" s="223"/>
      <c r="H19" s="223"/>
      <c r="I19" s="273"/>
      <c r="J19" s="273">
        <f>-J20*J17</f>
        <v>0</v>
      </c>
      <c r="K19" s="273">
        <f t="shared" ref="K19:S19" si="17">-K20*K17</f>
        <v>0</v>
      </c>
      <c r="L19" s="273">
        <f t="shared" si="17"/>
        <v>0</v>
      </c>
      <c r="M19" s="273">
        <f t="shared" si="17"/>
        <v>0</v>
      </c>
      <c r="N19" s="273">
        <f t="shared" si="17"/>
        <v>0</v>
      </c>
      <c r="O19" s="273">
        <f t="shared" si="17"/>
        <v>0</v>
      </c>
      <c r="P19" s="273">
        <f t="shared" si="17"/>
        <v>0</v>
      </c>
      <c r="Q19" s="273">
        <f t="shared" si="17"/>
        <v>0</v>
      </c>
      <c r="R19" s="273">
        <f t="shared" si="17"/>
        <v>0</v>
      </c>
      <c r="S19" s="273">
        <f t="shared" si="17"/>
        <v>0</v>
      </c>
      <c r="T19" s="274"/>
      <c r="U19" s="126"/>
    </row>
    <row r="20" spans="1:21" ht="20.25" customHeight="1">
      <c r="A20" s="208"/>
      <c r="B20" s="201"/>
      <c r="C20" s="218" t="s">
        <v>6</v>
      </c>
      <c r="D20" s="218"/>
      <c r="E20" s="221"/>
      <c r="F20" s="221"/>
      <c r="G20" s="221"/>
      <c r="H20" s="221"/>
      <c r="I20" s="271"/>
      <c r="J20" s="271">
        <f>'DCF input'!J40</f>
        <v>0</v>
      </c>
      <c r="K20" s="271">
        <f>'DCF input'!K40</f>
        <v>0</v>
      </c>
      <c r="L20" s="271">
        <f>'DCF input'!L40</f>
        <v>0</v>
      </c>
      <c r="M20" s="271">
        <f>'DCF input'!M40</f>
        <v>0</v>
      </c>
      <c r="N20" s="271">
        <f>'DCF input'!N40</f>
        <v>0</v>
      </c>
      <c r="O20" s="271">
        <f>'DCF input'!O40</f>
        <v>0</v>
      </c>
      <c r="P20" s="271">
        <f>'DCF input'!P40</f>
        <v>0</v>
      </c>
      <c r="Q20" s="271">
        <f>'DCF input'!Q40</f>
        <v>0</v>
      </c>
      <c r="R20" s="271">
        <f>'DCF input'!R40</f>
        <v>0</v>
      </c>
      <c r="S20" s="271">
        <f>'DCF input'!S40</f>
        <v>0</v>
      </c>
      <c r="T20" s="272"/>
      <c r="U20" s="126"/>
    </row>
    <row r="21" spans="1:21" ht="20.25" customHeight="1">
      <c r="A21" s="208"/>
      <c r="B21" s="201"/>
      <c r="C21" s="222" t="s">
        <v>7</v>
      </c>
      <c r="D21" s="222"/>
      <c r="E21" s="223"/>
      <c r="F21" s="223"/>
      <c r="G21" s="223"/>
      <c r="H21" s="223"/>
      <c r="I21" s="273"/>
      <c r="J21" s="273">
        <f>'DCF input'!J48</f>
        <v>0</v>
      </c>
      <c r="K21" s="273">
        <f>'DCF input'!K48</f>
        <v>0</v>
      </c>
      <c r="L21" s="273">
        <f>'DCF input'!L48</f>
        <v>0</v>
      </c>
      <c r="M21" s="273">
        <f>'DCF input'!M48</f>
        <v>0</v>
      </c>
      <c r="N21" s="273">
        <f>'DCF input'!N48</f>
        <v>0</v>
      </c>
      <c r="O21" s="273">
        <f>'DCF input'!O48</f>
        <v>0</v>
      </c>
      <c r="P21" s="273">
        <f>'DCF input'!P48</f>
        <v>0</v>
      </c>
      <c r="Q21" s="273">
        <f>'DCF input'!Q48</f>
        <v>0</v>
      </c>
      <c r="R21" s="273">
        <f>'DCF input'!R48</f>
        <v>0</v>
      </c>
      <c r="S21" s="273">
        <f>'DCF input'!S48</f>
        <v>0</v>
      </c>
      <c r="T21" s="274"/>
      <c r="U21" s="126"/>
    </row>
    <row r="22" spans="1:21" ht="20.25" customHeight="1">
      <c r="A22" s="208"/>
      <c r="B22" s="201"/>
      <c r="C22" s="218" t="s">
        <v>84</v>
      </c>
      <c r="D22" s="218"/>
      <c r="E22" s="221"/>
      <c r="F22" s="221"/>
      <c r="G22" s="221"/>
      <c r="H22" s="221"/>
      <c r="I22" s="271"/>
      <c r="J22" s="271">
        <f t="shared" ref="J22" si="18">-J21/J$9</f>
        <v>0</v>
      </c>
      <c r="K22" s="271">
        <f t="shared" ref="K22:S22" si="19">-K21/K$9</f>
        <v>0</v>
      </c>
      <c r="L22" s="271">
        <f t="shared" si="19"/>
        <v>0</v>
      </c>
      <c r="M22" s="271">
        <f t="shared" si="19"/>
        <v>0</v>
      </c>
      <c r="N22" s="271" t="e">
        <f t="shared" si="19"/>
        <v>#DIV/0!</v>
      </c>
      <c r="O22" s="271" t="e">
        <f t="shared" si="19"/>
        <v>#DIV/0!</v>
      </c>
      <c r="P22" s="271" t="e">
        <f t="shared" si="19"/>
        <v>#DIV/0!</v>
      </c>
      <c r="Q22" s="271" t="e">
        <f t="shared" si="19"/>
        <v>#DIV/0!</v>
      </c>
      <c r="R22" s="271" t="e">
        <f t="shared" si="19"/>
        <v>#DIV/0!</v>
      </c>
      <c r="S22" s="271" t="e">
        <f t="shared" si="19"/>
        <v>#DIV/0!</v>
      </c>
      <c r="T22" s="272"/>
      <c r="U22" s="126"/>
    </row>
    <row r="23" spans="1:21" ht="20.25" customHeight="1">
      <c r="A23" s="208"/>
      <c r="B23" s="201"/>
      <c r="C23" s="222" t="s">
        <v>75</v>
      </c>
      <c r="D23" s="222"/>
      <c r="E23" s="223"/>
      <c r="F23" s="223"/>
      <c r="G23" s="223"/>
      <c r="H23" s="223"/>
      <c r="I23" s="273"/>
      <c r="J23" s="273">
        <f>'DCF input'!J52</f>
        <v>0</v>
      </c>
      <c r="K23" s="273">
        <f>'DCF input'!K52</f>
        <v>0</v>
      </c>
      <c r="L23" s="273">
        <f>'DCF input'!L52</f>
        <v>0</v>
      </c>
      <c r="M23" s="273">
        <f>'DCF input'!M52</f>
        <v>0</v>
      </c>
      <c r="N23" s="273">
        <f>'DCF input'!N52</f>
        <v>0</v>
      </c>
      <c r="O23" s="273">
        <f>'DCF input'!O52</f>
        <v>0</v>
      </c>
      <c r="P23" s="273">
        <f>'DCF input'!P52</f>
        <v>0</v>
      </c>
      <c r="Q23" s="273">
        <f>'DCF input'!Q52</f>
        <v>0</v>
      </c>
      <c r="R23" s="273">
        <f>'DCF input'!R52</f>
        <v>0</v>
      </c>
      <c r="S23" s="273">
        <f>'DCF input'!S52</f>
        <v>0</v>
      </c>
      <c r="T23" s="274"/>
      <c r="U23" s="126"/>
    </row>
    <row r="24" spans="1:21" ht="20.25" customHeight="1">
      <c r="A24" s="208"/>
      <c r="B24" s="201"/>
      <c r="C24" s="222" t="s">
        <v>130</v>
      </c>
      <c r="D24" s="222"/>
      <c r="E24" s="223"/>
      <c r="F24" s="223"/>
      <c r="G24" s="223"/>
      <c r="H24" s="223"/>
      <c r="I24" s="273"/>
      <c r="J24" s="273">
        <f>'DCF input'!J55</f>
        <v>0</v>
      </c>
      <c r="K24" s="273">
        <f>'DCF input'!K55</f>
        <v>0</v>
      </c>
      <c r="L24" s="273">
        <f>'DCF input'!L55</f>
        <v>0</v>
      </c>
      <c r="M24" s="273">
        <f>'DCF input'!M55</f>
        <v>0</v>
      </c>
      <c r="N24" s="273">
        <f>'DCF input'!N55</f>
        <v>0</v>
      </c>
      <c r="O24" s="273">
        <f>'DCF input'!O55</f>
        <v>0</v>
      </c>
      <c r="P24" s="273">
        <f>'DCF input'!P55</f>
        <v>0</v>
      </c>
      <c r="Q24" s="273">
        <f>'DCF input'!Q55</f>
        <v>0</v>
      </c>
      <c r="R24" s="273">
        <f>'DCF input'!R55</f>
        <v>0</v>
      </c>
      <c r="S24" s="273">
        <f>'DCF input'!S55</f>
        <v>0</v>
      </c>
      <c r="T24" s="274"/>
      <c r="U24" s="126"/>
    </row>
    <row r="25" spans="1:21" ht="20.25" customHeight="1">
      <c r="A25" s="208"/>
      <c r="B25" s="201"/>
      <c r="C25" s="218" t="s">
        <v>84</v>
      </c>
      <c r="D25" s="222"/>
      <c r="E25" s="223"/>
      <c r="F25" s="223"/>
      <c r="G25" s="223"/>
      <c r="H25" s="223"/>
      <c r="I25" s="273"/>
      <c r="J25" s="271">
        <f t="shared" ref="J25:S25" si="20">-J24/J$9</f>
        <v>0</v>
      </c>
      <c r="K25" s="271">
        <f t="shared" si="20"/>
        <v>0</v>
      </c>
      <c r="L25" s="271">
        <f t="shared" si="20"/>
        <v>0</v>
      </c>
      <c r="M25" s="271">
        <f t="shared" si="20"/>
        <v>0</v>
      </c>
      <c r="N25" s="271" t="e">
        <f t="shared" si="20"/>
        <v>#DIV/0!</v>
      </c>
      <c r="O25" s="271" t="e">
        <f t="shared" si="20"/>
        <v>#DIV/0!</v>
      </c>
      <c r="P25" s="271" t="e">
        <f t="shared" si="20"/>
        <v>#DIV/0!</v>
      </c>
      <c r="Q25" s="271" t="e">
        <f t="shared" si="20"/>
        <v>#DIV/0!</v>
      </c>
      <c r="R25" s="271" t="e">
        <f t="shared" si="20"/>
        <v>#DIV/0!</v>
      </c>
      <c r="S25" s="271" t="e">
        <f t="shared" si="20"/>
        <v>#DIV/0!</v>
      </c>
      <c r="T25" s="274"/>
      <c r="U25" s="126"/>
    </row>
    <row r="26" spans="1:21" ht="20.25" customHeight="1">
      <c r="A26" s="208"/>
      <c r="B26" s="201"/>
      <c r="C26" s="222" t="s">
        <v>131</v>
      </c>
      <c r="D26" s="222"/>
      <c r="E26" s="223"/>
      <c r="F26" s="223"/>
      <c r="G26" s="223"/>
      <c r="H26" s="223"/>
      <c r="I26" s="273"/>
      <c r="J26" s="273">
        <f>'DCF input'!J58</f>
        <v>0</v>
      </c>
      <c r="K26" s="273">
        <f>'DCF input'!K58</f>
        <v>0</v>
      </c>
      <c r="L26" s="273">
        <f>'DCF input'!L58</f>
        <v>0</v>
      </c>
      <c r="M26" s="273">
        <f>'DCF input'!M58</f>
        <v>0</v>
      </c>
      <c r="N26" s="273">
        <f>'DCF input'!N58</f>
        <v>0</v>
      </c>
      <c r="O26" s="273">
        <f>'DCF input'!O58</f>
        <v>0</v>
      </c>
      <c r="P26" s="273">
        <f>'DCF input'!P58</f>
        <v>0</v>
      </c>
      <c r="Q26" s="273">
        <f>'DCF input'!Q58</f>
        <v>0</v>
      </c>
      <c r="R26" s="273">
        <f>'DCF input'!R58</f>
        <v>0</v>
      </c>
      <c r="S26" s="273">
        <f>'DCF input'!S58</f>
        <v>0</v>
      </c>
      <c r="T26" s="274"/>
      <c r="U26" s="126"/>
    </row>
    <row r="27" spans="1:21" ht="20.25" customHeight="1">
      <c r="A27" s="208"/>
      <c r="B27" s="201"/>
      <c r="C27" s="218" t="s">
        <v>84</v>
      </c>
      <c r="D27" s="222"/>
      <c r="E27" s="223"/>
      <c r="F27" s="223"/>
      <c r="G27" s="223"/>
      <c r="H27" s="223"/>
      <c r="I27" s="273"/>
      <c r="J27" s="271">
        <f t="shared" ref="J27:S27" si="21">-J26/J$9</f>
        <v>0</v>
      </c>
      <c r="K27" s="271">
        <f t="shared" si="21"/>
        <v>0</v>
      </c>
      <c r="L27" s="271">
        <f t="shared" si="21"/>
        <v>0</v>
      </c>
      <c r="M27" s="271">
        <f t="shared" si="21"/>
        <v>0</v>
      </c>
      <c r="N27" s="271" t="e">
        <f t="shared" si="21"/>
        <v>#DIV/0!</v>
      </c>
      <c r="O27" s="271" t="e">
        <f t="shared" si="21"/>
        <v>#DIV/0!</v>
      </c>
      <c r="P27" s="271" t="e">
        <f t="shared" si="21"/>
        <v>#DIV/0!</v>
      </c>
      <c r="Q27" s="271" t="e">
        <f t="shared" si="21"/>
        <v>#DIV/0!</v>
      </c>
      <c r="R27" s="271" t="e">
        <f t="shared" si="21"/>
        <v>#DIV/0!</v>
      </c>
      <c r="S27" s="271" t="e">
        <f t="shared" si="21"/>
        <v>#DIV/0!</v>
      </c>
      <c r="T27" s="274"/>
      <c r="U27" s="126"/>
    </row>
    <row r="28" spans="1:21" ht="20.25" customHeight="1">
      <c r="A28" s="208"/>
      <c r="B28" s="201"/>
      <c r="C28" s="216" t="s">
        <v>86</v>
      </c>
      <c r="D28" s="216"/>
      <c r="E28" s="217"/>
      <c r="F28" s="217"/>
      <c r="G28" s="217"/>
      <c r="H28" s="217"/>
      <c r="I28" s="269"/>
      <c r="J28" s="269">
        <f>J17+J19-J14+J21+J23+J24+J26</f>
        <v>0</v>
      </c>
      <c r="K28" s="269">
        <f t="shared" ref="K28:S28" si="22">K17+K19-K14+K21+K23+K24+K26</f>
        <v>0</v>
      </c>
      <c r="L28" s="269">
        <f t="shared" si="22"/>
        <v>0</v>
      </c>
      <c r="M28" s="269">
        <f t="shared" si="22"/>
        <v>0</v>
      </c>
      <c r="N28" s="269">
        <f t="shared" si="22"/>
        <v>0</v>
      </c>
      <c r="O28" s="269">
        <f t="shared" si="22"/>
        <v>0</v>
      </c>
      <c r="P28" s="269">
        <f t="shared" si="22"/>
        <v>0</v>
      </c>
      <c r="Q28" s="269">
        <f t="shared" si="22"/>
        <v>0</v>
      </c>
      <c r="R28" s="269">
        <f t="shared" si="22"/>
        <v>0</v>
      </c>
      <c r="S28" s="269">
        <f t="shared" si="22"/>
        <v>0</v>
      </c>
      <c r="T28" s="269">
        <f>S28*(1+'DCF input'!F9)/('DCF input'!F11-'DCF input'!F9)</f>
        <v>0</v>
      </c>
      <c r="U28" s="126"/>
    </row>
    <row r="29" spans="1:21" ht="20.25" customHeight="1">
      <c r="A29" s="208"/>
      <c r="B29" s="201"/>
      <c r="C29" s="201" t="s">
        <v>87</v>
      </c>
      <c r="D29" s="222"/>
      <c r="E29" s="223"/>
      <c r="F29" s="223"/>
      <c r="G29" s="223"/>
      <c r="H29" s="223"/>
      <c r="I29" s="273"/>
      <c r="J29" s="273">
        <f t="shared" ref="J29:S29" si="23">J7</f>
        <v>1</v>
      </c>
      <c r="K29" s="273">
        <f t="shared" si="23"/>
        <v>2</v>
      </c>
      <c r="L29" s="273">
        <f t="shared" si="23"/>
        <v>3</v>
      </c>
      <c r="M29" s="273">
        <f t="shared" si="23"/>
        <v>4</v>
      </c>
      <c r="N29" s="273">
        <f t="shared" si="23"/>
        <v>5</v>
      </c>
      <c r="O29" s="273">
        <f t="shared" si="23"/>
        <v>6</v>
      </c>
      <c r="P29" s="273">
        <f t="shared" si="23"/>
        <v>7</v>
      </c>
      <c r="Q29" s="273">
        <f t="shared" si="23"/>
        <v>8</v>
      </c>
      <c r="R29" s="273">
        <f t="shared" si="23"/>
        <v>9</v>
      </c>
      <c r="S29" s="273">
        <f t="shared" si="23"/>
        <v>10</v>
      </c>
      <c r="T29" s="275"/>
      <c r="U29" s="126"/>
    </row>
    <row r="30" spans="1:21" ht="20.25" customHeight="1">
      <c r="A30" s="208"/>
      <c r="B30" s="201"/>
      <c r="C30" s="201" t="s">
        <v>88</v>
      </c>
      <c r="D30" s="222"/>
      <c r="E30" s="223"/>
      <c r="F30" s="223"/>
      <c r="G30" s="223"/>
      <c r="H30" s="223"/>
      <c r="I30" s="276"/>
      <c r="J30" s="277">
        <f>'DCF input'!J67</f>
        <v>0.92165898617511521</v>
      </c>
      <c r="K30" s="277">
        <f>'DCF input'!K67</f>
        <v>0.84945528679734128</v>
      </c>
      <c r="L30" s="277">
        <f>'DCF input'!L67</f>
        <v>0.78290809843072917</v>
      </c>
      <c r="M30" s="277">
        <f>'DCF input'!M67</f>
        <v>0.72157428426795334</v>
      </c>
      <c r="N30" s="277">
        <f>'DCF input'!N67</f>
        <v>0.66504542328843619</v>
      </c>
      <c r="O30" s="277">
        <f>'DCF input'!O67</f>
        <v>0.6129450905884205</v>
      </c>
      <c r="P30" s="277">
        <f>'DCF input'!P67</f>
        <v>0.56492635077273778</v>
      </c>
      <c r="Q30" s="277">
        <f>'DCF input'!Q67</f>
        <v>0.52066944771680901</v>
      </c>
      <c r="R30" s="277">
        <f>'DCF input'!R67</f>
        <v>0.4798796753150314</v>
      </c>
      <c r="S30" s="277">
        <f>'DCF input'!S67</f>
        <v>0.44228541503689528</v>
      </c>
      <c r="T30" s="273"/>
      <c r="U30" s="126"/>
    </row>
    <row r="31" spans="1:21" ht="20.25" customHeight="1">
      <c r="A31" s="208"/>
      <c r="B31" s="201"/>
      <c r="C31" s="224" t="s">
        <v>89</v>
      </c>
      <c r="D31" s="224"/>
      <c r="E31" s="225"/>
      <c r="F31" s="225"/>
      <c r="G31" s="225"/>
      <c r="H31" s="225"/>
      <c r="I31" s="278"/>
      <c r="J31" s="278">
        <f t="shared" ref="J31" si="24">J30*J28</f>
        <v>0</v>
      </c>
      <c r="K31" s="278">
        <f t="shared" ref="K31:S31" si="25">K30*K28</f>
        <v>0</v>
      </c>
      <c r="L31" s="278">
        <f t="shared" si="25"/>
        <v>0</v>
      </c>
      <c r="M31" s="278">
        <f t="shared" si="25"/>
        <v>0</v>
      </c>
      <c r="N31" s="278">
        <f t="shared" si="25"/>
        <v>0</v>
      </c>
      <c r="O31" s="278">
        <f t="shared" si="25"/>
        <v>0</v>
      </c>
      <c r="P31" s="278">
        <f t="shared" si="25"/>
        <v>0</v>
      </c>
      <c r="Q31" s="278">
        <f t="shared" si="25"/>
        <v>0</v>
      </c>
      <c r="R31" s="278">
        <f t="shared" si="25"/>
        <v>0</v>
      </c>
      <c r="S31" s="278">
        <f t="shared" si="25"/>
        <v>0</v>
      </c>
      <c r="T31" s="278">
        <f>T28*S30</f>
        <v>0</v>
      </c>
      <c r="U31" s="126"/>
    </row>
    <row r="32" spans="1:21" ht="20.25" customHeight="1">
      <c r="A32" s="208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126"/>
      <c r="O32" s="201"/>
      <c r="P32" s="201"/>
      <c r="Q32" s="201"/>
      <c r="R32" s="201"/>
      <c r="S32" s="126"/>
      <c r="T32" s="126"/>
      <c r="U32" s="126"/>
    </row>
    <row r="33" spans="1:22" ht="20.25" customHeight="1">
      <c r="A33" s="208"/>
      <c r="B33" s="201"/>
      <c r="C33" s="243" t="s">
        <v>90</v>
      </c>
      <c r="D33" s="244"/>
      <c r="E33" s="244"/>
      <c r="F33" s="244"/>
      <c r="G33" s="244"/>
      <c r="H33" s="245"/>
      <c r="I33" s="245"/>
      <c r="J33" s="245"/>
      <c r="K33" s="245"/>
      <c r="L33" s="245"/>
      <c r="M33" s="245"/>
      <c r="N33" s="245"/>
      <c r="O33" s="245"/>
      <c r="P33" s="245"/>
      <c r="Q33" s="245"/>
      <c r="R33" s="245"/>
      <c r="S33" s="245"/>
      <c r="T33" s="242"/>
      <c r="U33" s="126"/>
    </row>
    <row r="34" spans="1:22" ht="20.25" customHeight="1">
      <c r="A34" s="208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2"/>
      <c r="O34" s="203"/>
      <c r="P34" s="203"/>
      <c r="Q34" s="203"/>
      <c r="R34" s="203"/>
      <c r="S34" s="203"/>
      <c r="T34" s="203"/>
      <c r="U34" s="203"/>
    </row>
    <row r="35" spans="1:22" ht="20.25" customHeight="1">
      <c r="A35" s="208"/>
      <c r="B35" s="201"/>
      <c r="C35" s="427" t="str">
        <f>"Value Based on "&amp;TEXT(K40,"#0.0%")&amp;" WACC &amp; "&amp;TEXT(N37,"#0.0%")&amp;" TGR"</f>
        <v>Value Based on 8.5% WACC &amp; 0.5% TGR</v>
      </c>
      <c r="D35" s="427"/>
      <c r="E35" s="427"/>
      <c r="F35" s="226" t="s">
        <v>91</v>
      </c>
      <c r="G35" s="226" t="s">
        <v>92</v>
      </c>
      <c r="H35" s="201"/>
      <c r="I35" s="126"/>
      <c r="J35" s="237" t="s">
        <v>146</v>
      </c>
      <c r="K35" s="238"/>
      <c r="L35" s="239"/>
      <c r="M35" s="240"/>
      <c r="N35" s="240"/>
      <c r="O35" s="240"/>
      <c r="P35" s="241"/>
      <c r="Q35" s="227"/>
      <c r="R35" s="227"/>
      <c r="S35" s="227"/>
      <c r="T35" s="203"/>
      <c r="U35" s="203"/>
    </row>
    <row r="36" spans="1:22" ht="20.25" customHeight="1">
      <c r="A36" s="208"/>
      <c r="B36" s="201"/>
      <c r="C36" s="428"/>
      <c r="D36" s="428"/>
      <c r="E36" s="428"/>
      <c r="F36" s="348" t="s">
        <v>143</v>
      </c>
      <c r="G36" s="215" t="s">
        <v>93</v>
      </c>
      <c r="H36" s="201"/>
      <c r="I36" s="126"/>
      <c r="J36" s="228"/>
      <c r="K36" s="226"/>
      <c r="L36" s="431" t="s">
        <v>94</v>
      </c>
      <c r="M36" s="431"/>
      <c r="N36" s="431"/>
      <c r="O36" s="431"/>
      <c r="P36" s="431"/>
      <c r="Q36" s="229"/>
      <c r="R36" s="229"/>
      <c r="S36" s="229"/>
      <c r="T36" s="203"/>
      <c r="U36" s="203"/>
    </row>
    <row r="37" spans="1:22" ht="20.25" customHeight="1">
      <c r="A37" s="208"/>
      <c r="B37" s="201"/>
      <c r="C37" s="287" t="s">
        <v>95</v>
      </c>
      <c r="D37" s="230"/>
      <c r="E37" s="230"/>
      <c r="F37" s="279">
        <f>SUM(J31:S31)</f>
        <v>0</v>
      </c>
      <c r="G37" s="280" t="e">
        <f>F37/F$39</f>
        <v>#DIV/0!</v>
      </c>
      <c r="H37" s="201"/>
      <c r="I37" s="126"/>
      <c r="J37" s="429" t="s">
        <v>60</v>
      </c>
      <c r="K37" s="290"/>
      <c r="L37" s="291">
        <f>'DCF input'!F103</f>
        <v>5.0000000000000001E-3</v>
      </c>
      <c r="M37" s="291">
        <f>'DCF input'!G103</f>
        <v>5.0000000000000001E-3</v>
      </c>
      <c r="N37" s="291">
        <f>'DCF input'!H103</f>
        <v>5.0000000000000001E-3</v>
      </c>
      <c r="O37" s="291">
        <f>'DCF input'!I103</f>
        <v>5.0000000000000001E-3</v>
      </c>
      <c r="P37" s="291">
        <f>'DCF input'!J103</f>
        <v>5.0000000000000001E-3</v>
      </c>
      <c r="Q37" s="231"/>
      <c r="R37" s="231"/>
      <c r="S37" s="231"/>
      <c r="T37" s="203"/>
      <c r="U37" s="203"/>
    </row>
    <row r="38" spans="1:22" ht="20.25" customHeight="1">
      <c r="A38" s="208"/>
      <c r="B38" s="201"/>
      <c r="C38" s="287" t="s">
        <v>51</v>
      </c>
      <c r="D38" s="230"/>
      <c r="E38" s="230"/>
      <c r="F38" s="279">
        <f>T31</f>
        <v>0</v>
      </c>
      <c r="G38" s="280" t="e">
        <f>F38/F$39</f>
        <v>#DIV/0!</v>
      </c>
      <c r="H38" s="201"/>
      <c r="I38" s="126"/>
      <c r="J38" s="429"/>
      <c r="K38" s="292">
        <f>'DCF input'!E95</f>
        <v>8.5000000000000006E-2</v>
      </c>
      <c r="L38" s="293" t="str">
        <f>CONCATENATE(ROUND('DCF input'!F95,)," / ",ROUND('DCF input'!F104,0),"c")</f>
        <v>0 / -43c</v>
      </c>
      <c r="M38" s="294" t="str">
        <f>CONCATENATE(ROUND('DCF input'!G95,)," / ",ROUND('DCF input'!G104,0),"c")</f>
        <v>0 / -43c</v>
      </c>
      <c r="N38" s="294" t="str">
        <f>CONCATENATE(ROUND('DCF input'!H95,)," / ",ROUND('DCF input'!H104,0),"c")</f>
        <v>0 / -43c</v>
      </c>
      <c r="O38" s="294" t="str">
        <f>CONCATENATE(ROUND('DCF input'!I95,)," / ",ROUND('DCF input'!I104,0),"c")</f>
        <v>0 / -43c</v>
      </c>
      <c r="P38" s="294" t="str">
        <f>CONCATENATE(ROUND('DCF input'!J95,)," / ",ROUND('DCF input'!J104,0),"c")</f>
        <v>0 / -43c</v>
      </c>
      <c r="Q38" s="232"/>
      <c r="R38" s="232"/>
      <c r="S38" s="232"/>
      <c r="T38" s="203"/>
      <c r="U38" s="203"/>
    </row>
    <row r="39" spans="1:22" ht="20.25" customHeight="1">
      <c r="A39" s="208"/>
      <c r="B39" s="201"/>
      <c r="C39" s="288" t="s">
        <v>96</v>
      </c>
      <c r="D39" s="233"/>
      <c r="E39" s="233"/>
      <c r="F39" s="281">
        <f>(F38+F37)</f>
        <v>0</v>
      </c>
      <c r="G39" s="282" t="e">
        <f>F39/F$39</f>
        <v>#DIV/0!</v>
      </c>
      <c r="H39" s="201"/>
      <c r="I39" s="126"/>
      <c r="J39" s="429"/>
      <c r="K39" s="292">
        <f>'DCF input'!E96</f>
        <v>8.5000000000000006E-2</v>
      </c>
      <c r="L39" s="294" t="str">
        <f>CONCATENATE(ROUND('DCF input'!F96,)," / ",ROUND('DCF input'!F105,0),"c")</f>
        <v>0 / -43c</v>
      </c>
      <c r="M39" s="295" t="str">
        <f>CONCATENATE(ROUND('DCF input'!G96,)," / ",ROUND('DCF input'!G105,0),"c")</f>
        <v>0 / -43c</v>
      </c>
      <c r="N39" s="295" t="str">
        <f>CONCATENATE(ROUND('DCF input'!H96,)," / ",ROUND('DCF input'!H105,0),"c")</f>
        <v>0 / -43c</v>
      </c>
      <c r="O39" s="295" t="str">
        <f>CONCATENATE(ROUND('DCF input'!I96,)," / ",ROUND('DCF input'!I105,0),"c")</f>
        <v>0 / -43c</v>
      </c>
      <c r="P39" s="294" t="str">
        <f>CONCATENATE(ROUND('DCF input'!J96,)," / ",ROUND('DCF input'!J105,0),"c")</f>
        <v>0 / -43c</v>
      </c>
      <c r="Q39" s="232"/>
      <c r="R39" s="232"/>
      <c r="S39" s="232"/>
      <c r="T39" s="203"/>
      <c r="U39" s="203"/>
    </row>
    <row r="40" spans="1:22" ht="20.25" customHeight="1">
      <c r="A40" s="208"/>
      <c r="B40" s="201"/>
      <c r="C40" s="287" t="s">
        <v>67</v>
      </c>
      <c r="D40" s="230"/>
      <c r="E40" s="230"/>
      <c r="F40" s="283">
        <f>+'DCF input'!H78</f>
        <v>-84.616813539584982</v>
      </c>
      <c r="G40" s="284"/>
      <c r="H40" s="195"/>
      <c r="I40" s="126"/>
      <c r="J40" s="429"/>
      <c r="K40" s="292">
        <f>'DCF input'!E97</f>
        <v>8.5000000000000006E-2</v>
      </c>
      <c r="L40" s="294" t="str">
        <f>CONCATENATE(ROUND('DCF input'!F97,)," / ",ROUND('DCF input'!F106,0),"c")</f>
        <v>0 / -43c</v>
      </c>
      <c r="M40" s="295" t="str">
        <f>CONCATENATE(ROUND('DCF input'!G97,)," / ",ROUND('DCF input'!G106,0),"c")</f>
        <v>0 / -43c</v>
      </c>
      <c r="N40" s="296" t="str">
        <f>CONCATENATE(ROUND('DCF input'!H97,)," / ",ROUND('DCF input'!H106,0),"c")</f>
        <v>0 / -43c</v>
      </c>
      <c r="O40" s="295" t="str">
        <f>CONCATENATE(ROUND('DCF input'!I97,)," / ",ROUND('DCF input'!I106,0),"c")</f>
        <v>0 / -43c</v>
      </c>
      <c r="P40" s="294" t="str">
        <f>CONCATENATE(ROUND('DCF input'!J97,)," / ",ROUND('DCF input'!J106,0),"c")</f>
        <v>0 / -43c</v>
      </c>
      <c r="Q40" s="232"/>
      <c r="R40" s="234"/>
      <c r="S40" s="232"/>
      <c r="T40" s="203"/>
      <c r="U40" s="203"/>
    </row>
    <row r="41" spans="1:22" ht="20.25" customHeight="1">
      <c r="A41" s="208"/>
      <c r="B41" s="201"/>
      <c r="C41" s="288" t="s">
        <v>97</v>
      </c>
      <c r="D41" s="233"/>
      <c r="E41" s="233"/>
      <c r="F41" s="281">
        <f>+F39+F40</f>
        <v>-84.616813539584982</v>
      </c>
      <c r="G41" s="282"/>
      <c r="H41" s="201"/>
      <c r="I41" s="126"/>
      <c r="J41" s="429"/>
      <c r="K41" s="292">
        <f>'DCF input'!E98</f>
        <v>8.5000000000000006E-2</v>
      </c>
      <c r="L41" s="294" t="str">
        <f>CONCATENATE(ROUND('DCF input'!F98,)," / ",ROUND('DCF input'!F107,0),"c")</f>
        <v>0 / -43c</v>
      </c>
      <c r="M41" s="295" t="str">
        <f>CONCATENATE(ROUND('DCF input'!G98,)," / ",ROUND('DCF input'!G107,0),"c")</f>
        <v>0 / -43c</v>
      </c>
      <c r="N41" s="295" t="str">
        <f>CONCATENATE(ROUND('DCF input'!H98,)," / ",ROUND('DCF input'!H107,0),"c")</f>
        <v>0 / -43c</v>
      </c>
      <c r="O41" s="295" t="str">
        <f>CONCATENATE(ROUND('DCF input'!I98,)," / ",ROUND('DCF input'!I107,0),"c")</f>
        <v>0 / -43c</v>
      </c>
      <c r="P41" s="294" t="str">
        <f>CONCATENATE(ROUND('DCF input'!J98,)," / ",ROUND('DCF input'!J107,0),"c")</f>
        <v>0 / -43c</v>
      </c>
      <c r="Q41" s="232"/>
      <c r="R41" s="232"/>
      <c r="S41" s="232"/>
      <c r="T41" s="203"/>
      <c r="U41" s="203"/>
    </row>
    <row r="42" spans="1:22" ht="20.25" customHeight="1">
      <c r="A42" s="208"/>
      <c r="B42" s="201"/>
      <c r="C42" s="287" t="s">
        <v>151</v>
      </c>
      <c r="D42" s="230"/>
      <c r="E42" s="230"/>
      <c r="F42" s="283">
        <f>+F41/Assumptions!D17*100</f>
        <v>-42.521011828937176</v>
      </c>
      <c r="G42" s="285"/>
      <c r="H42" s="201"/>
      <c r="I42" s="126"/>
      <c r="J42" s="430"/>
      <c r="K42" s="297">
        <f>'DCF input'!E99</f>
        <v>8.5000000000000006E-2</v>
      </c>
      <c r="L42" s="298" t="str">
        <f>CONCATENATE(ROUND('DCF input'!F99,)," / ",ROUND('DCF input'!F108,0),"c")</f>
        <v>0 / -43c</v>
      </c>
      <c r="M42" s="298" t="str">
        <f>CONCATENATE(ROUND('DCF input'!G99,)," / ",ROUND('DCF input'!G108,0),"c")</f>
        <v>0 / -43c</v>
      </c>
      <c r="N42" s="298" t="str">
        <f>CONCATENATE(ROUND('DCF input'!H99,)," / ",ROUND('DCF input'!H108,0),"c")</f>
        <v>0 / -43c</v>
      </c>
      <c r="O42" s="298" t="str">
        <f>CONCATENATE(ROUND('DCF input'!I99,)," / ",ROUND('DCF input'!I108,0),"c")</f>
        <v>0 / -43c</v>
      </c>
      <c r="P42" s="298" t="str">
        <f>CONCATENATE(ROUND('DCF input'!J99,)," / ",ROUND('DCF input'!J108,0),"c")</f>
        <v>0 / -43c</v>
      </c>
      <c r="Q42" s="232"/>
      <c r="R42" s="232"/>
      <c r="S42" s="232"/>
      <c r="T42" s="203"/>
      <c r="U42" s="203"/>
    </row>
    <row r="43" spans="1:22" ht="20.25" customHeight="1">
      <c r="B43" s="126"/>
      <c r="C43" s="289" t="s">
        <v>28</v>
      </c>
      <c r="D43" s="230"/>
      <c r="E43" s="230"/>
      <c r="F43" s="286">
        <f>+F42/Assumptions!D16-1</f>
        <v>-1.2577031019935587</v>
      </c>
      <c r="G43" s="285"/>
      <c r="H43" s="126"/>
      <c r="I43" s="126"/>
      <c r="J43" s="126"/>
      <c r="K43" s="126"/>
      <c r="L43" s="126"/>
      <c r="M43" s="126"/>
      <c r="N43" s="203"/>
      <c r="O43" s="203"/>
      <c r="P43" s="203"/>
      <c r="Q43" s="203"/>
      <c r="R43" s="203"/>
      <c r="S43" s="203"/>
      <c r="T43" s="203"/>
      <c r="U43" s="203"/>
    </row>
    <row r="44" spans="1:22" ht="16.05" customHeight="1">
      <c r="B44" s="126"/>
      <c r="C44" s="203"/>
      <c r="D44" s="203"/>
      <c r="E44" s="203"/>
      <c r="F44" s="203"/>
      <c r="G44" s="203"/>
      <c r="H44" s="126"/>
      <c r="I44" s="126"/>
      <c r="J44" s="126"/>
      <c r="K44" s="126"/>
      <c r="L44" s="126"/>
      <c r="M44" s="126"/>
      <c r="N44" s="203"/>
      <c r="O44" s="203"/>
      <c r="P44" s="203"/>
      <c r="Q44" s="203"/>
      <c r="R44" s="203"/>
      <c r="S44" s="203"/>
      <c r="T44" s="203"/>
      <c r="U44" s="203"/>
      <c r="V44" s="235"/>
    </row>
    <row r="45" spans="1:22">
      <c r="N45" s="236"/>
      <c r="O45" s="236"/>
      <c r="P45" s="236"/>
      <c r="Q45" s="236"/>
      <c r="R45" s="236"/>
      <c r="S45" s="236"/>
      <c r="T45" s="236"/>
      <c r="U45" s="236"/>
    </row>
    <row r="46" spans="1:22">
      <c r="N46" s="236"/>
      <c r="O46" s="236"/>
      <c r="P46" s="236"/>
      <c r="Q46" s="236"/>
      <c r="R46" s="236"/>
      <c r="S46" s="236"/>
      <c r="T46" s="236"/>
      <c r="U46" s="236"/>
    </row>
    <row r="47" spans="1:22">
      <c r="N47" s="236"/>
      <c r="O47" s="236"/>
      <c r="P47" s="236"/>
      <c r="Q47" s="236"/>
      <c r="R47" s="236"/>
      <c r="S47" s="236"/>
      <c r="T47" s="236"/>
      <c r="U47" s="236"/>
    </row>
    <row r="48" spans="1:22">
      <c r="N48" s="236"/>
      <c r="O48" s="236"/>
      <c r="P48" s="236"/>
      <c r="Q48" s="236"/>
      <c r="R48" s="236"/>
      <c r="S48" s="236"/>
      <c r="T48" s="236"/>
      <c r="U48" s="236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madhav madupu</cp:lastModifiedBy>
  <cp:lastPrinted>2019-02-04T16:32:05Z</cp:lastPrinted>
  <dcterms:created xsi:type="dcterms:W3CDTF">2010-12-03T17:25:22Z</dcterms:created>
  <dcterms:modified xsi:type="dcterms:W3CDTF">2025-11-27T06:46:34Z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